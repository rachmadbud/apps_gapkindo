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o Kuning\Downloads\"/>
    </mc:Choice>
  </mc:AlternateContent>
  <xr:revisionPtr revIDLastSave="0" documentId="13_ncr:1_{3511C07B-BF9B-4B52-B7BD-D03E6729A415}" xr6:coauthVersionLast="47" xr6:coauthVersionMax="47" xr10:uidLastSave="{00000000-0000-0000-0000-000000000000}"/>
  <bookViews>
    <workbookView xWindow="-120" yWindow="-120" windowWidth="20730" windowHeight="11160" xr2:uid="{4D3A9C26-4875-468F-93D4-2A42008C22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E41" i="1"/>
  <c r="F38" i="1"/>
  <c r="E38" i="1"/>
  <c r="F35" i="1"/>
  <c r="E35" i="1"/>
  <c r="F34" i="1"/>
  <c r="E34" i="1"/>
  <c r="F33" i="1"/>
  <c r="E33" i="1"/>
  <c r="D33" i="1"/>
  <c r="C33" i="1"/>
  <c r="F31" i="1"/>
  <c r="E31" i="1"/>
  <c r="F30" i="1"/>
  <c r="E30" i="1"/>
  <c r="F29" i="1"/>
  <c r="E29" i="1"/>
  <c r="D29" i="1"/>
  <c r="C29" i="1"/>
  <c r="F27" i="1"/>
  <c r="E27" i="1"/>
  <c r="F24" i="1"/>
  <c r="E24" i="1"/>
  <c r="F23" i="1"/>
  <c r="E23" i="1"/>
  <c r="F22" i="1"/>
  <c r="E22" i="1"/>
  <c r="F21" i="1"/>
  <c r="F20" i="1" s="1"/>
  <c r="E21" i="1"/>
  <c r="E20" i="1"/>
  <c r="D20" i="1"/>
  <c r="C20" i="1"/>
  <c r="F13" i="1"/>
  <c r="F12" i="1" s="1"/>
  <c r="E13" i="1"/>
  <c r="E12" i="1"/>
  <c r="D12" i="1"/>
  <c r="C12" i="1"/>
  <c r="F9" i="1"/>
  <c r="E9" i="1"/>
  <c r="F6" i="1"/>
  <c r="F43" i="1" s="1"/>
  <c r="E6" i="1"/>
  <c r="E43" i="1" s="1"/>
  <c r="D6" i="1"/>
  <c r="D43" i="1" s="1"/>
  <c r="C6" i="1"/>
  <c r="C43" i="1" s="1"/>
</calcChain>
</file>

<file path=xl/sharedStrings.xml><?xml version="1.0" encoding="utf-8"?>
<sst xmlns="http://schemas.openxmlformats.org/spreadsheetml/2006/main" count="46" uniqueCount="43">
  <si>
    <t>EKSPOR KARET ALAM INDONESIA MENURUT JENIS MUTU</t>
  </si>
  <si>
    <t>PERIODE : NOVEMBER 2025</t>
  </si>
  <si>
    <t>HS CODE</t>
  </si>
  <si>
    <t>JENIS MUTU</t>
  </si>
  <si>
    <t>NOVEMBER 2025</t>
  </si>
  <si>
    <t>JANUARI - NOVEMBER 2025</t>
  </si>
  <si>
    <t xml:space="preserve"> VOLUME (KG) </t>
  </si>
  <si>
    <t xml:space="preserve"> NILAI (US$) </t>
  </si>
  <si>
    <t xml:space="preserve">   </t>
  </si>
  <si>
    <t>LATEKS</t>
  </si>
  <si>
    <t>Centrifuged concentrate natural rubber latex, exceeding 0.5% by volume of ammonia content</t>
  </si>
  <si>
    <t>Non-centrifuged concentrate natural rubber latex, exceeding 0.5% by volume of ammonia content</t>
  </si>
  <si>
    <t>Centrifuged concentrate rubber latex, not exceeding 0.5 % by volume of ammonia content</t>
  </si>
  <si>
    <t>Centrifuged concentrate oth than rubber latex, not exceeding 0.5 % by volume of ammonia content</t>
  </si>
  <si>
    <t>RSS</t>
  </si>
  <si>
    <t>RSS Grade 1</t>
  </si>
  <si>
    <t>RSS Grade 2</t>
  </si>
  <si>
    <t>RSS Grade 3</t>
  </si>
  <si>
    <t>RSS Grade 4</t>
  </si>
  <si>
    <t>RSS Grade 5</t>
  </si>
  <si>
    <t>Other than RSS Grade 1 to 5</t>
  </si>
  <si>
    <t>SIR</t>
  </si>
  <si>
    <t>Technically specified natural rubber (TSNR) 10</t>
  </si>
  <si>
    <t>Technically specified natural rubber (TSNR) 20</t>
  </si>
  <si>
    <t>Technically specified natural rubber (TSNR) L</t>
  </si>
  <si>
    <t>Technically specified natural rubber (TSNR) CV</t>
  </si>
  <si>
    <t>Technically specified natural rubber (TSNR) GP</t>
  </si>
  <si>
    <t>Technically specified natural rubber (TSNR) 5</t>
  </si>
  <si>
    <t>Technically specified natural rubber (TSNR) other than TSNR 10, 20, L,CV, GP and 5</t>
  </si>
  <si>
    <t xml:space="preserve">Mixture of natural rubber </t>
  </si>
  <si>
    <t>Mixture of natural rubber latex with syntetic rubber latex</t>
  </si>
  <si>
    <t>Mixtures of product of 40.01 with product of 40.02 other than mixture of natural rubber latex with syntetic rubber latex</t>
  </si>
  <si>
    <t xml:space="preserve">Compounded of natural </t>
  </si>
  <si>
    <t>Compounded of natural gums with carbon black or silica, unvulcanised, in primary forms or in plates, sheets or strip</t>
  </si>
  <si>
    <t>Compounded rubber, oth than natural gums with carbon black/silica, unvulcanised, in primary forms/in plates,sheets/strip</t>
  </si>
  <si>
    <t>Compounded rubber, unvulcanised, solutions, dispersions other than those of subheading 400510</t>
  </si>
  <si>
    <t>Compounded rubber of natural gums, other than 400510 and 400520, unvulcanised, in plates, sheets amd strips</t>
  </si>
  <si>
    <t>Compounded rubber other than of natural gums, other than 4005.10 and 4005.20, unvulcanised, in plates, sheets amd strip</t>
  </si>
  <si>
    <t>Compounded rubber, lateks, unvulcanised, oth thn solutions &amp; uncompounded with carbon black or silica,in primary forms</t>
  </si>
  <si>
    <t>Natural rubber compounded with substances other than carbon or silica, unvulcanised, in primary forms</t>
  </si>
  <si>
    <t xml:space="preserve">Compounded rubber,nec in sub heading 4005.10 &amp; nec in sub heading 4005.20, in primary forms, nec in sub heading 4005.99 </t>
  </si>
  <si>
    <t>JUMLAH</t>
  </si>
  <si>
    <t>SUMBER : BPS (diolah),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</si>
</sst>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ptos"/>
      <charset val="134"/>
    </font>
    <font>
      <sz val="10"/>
      <color theme="1"/>
      <name val="Aptos"/>
      <charset val="134"/>
    </font>
    <font>
      <sz val="10"/>
      <color rgb="FF000000"/>
      <name val="Aptos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164" fontId="2" fillId="2" borderId="3" xfId="1" quotePrefix="1" applyNumberFormat="1" applyFont="1" applyFill="1" applyBorder="1" applyAlignment="1">
      <alignment horizontal="center" vertical="center"/>
    </xf>
    <xf numFmtId="164" fontId="2" fillId="2" borderId="4" xfId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right" vertical="center"/>
    </xf>
    <xf numFmtId="164" fontId="4" fillId="0" borderId="6" xfId="1" applyNumberFormat="1" applyFont="1" applyBorder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164" fontId="2" fillId="3" borderId="6" xfId="1" applyNumberFormat="1" applyFont="1" applyFill="1" applyBorder="1" applyAlignment="1">
      <alignment horizontal="right" vertical="center" wrapText="1" indent="1"/>
    </xf>
    <xf numFmtId="0" fontId="4" fillId="0" borderId="6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164" fontId="4" fillId="0" borderId="6" xfId="1" applyNumberFormat="1" applyFont="1" applyFill="1" applyBorder="1" applyAlignment="1">
      <alignment horizontal="right" vertical="center" wrapText="1" indent="1"/>
    </xf>
    <xf numFmtId="164" fontId="2" fillId="0" borderId="6" xfId="1" applyNumberFormat="1" applyFont="1" applyFill="1" applyBorder="1" applyAlignment="1">
      <alignment horizontal="right" vertical="center"/>
    </xf>
    <xf numFmtId="164" fontId="4" fillId="0" borderId="6" xfId="1" applyNumberFormat="1" applyFont="1" applyFill="1" applyBorder="1" applyAlignment="1">
      <alignment horizontal="right" vertical="center" indent="6"/>
    </xf>
    <xf numFmtId="164" fontId="4" fillId="0" borderId="6" xfId="1" applyNumberFormat="1" applyFont="1" applyFill="1" applyBorder="1" applyAlignment="1">
      <alignment horizontal="right" vertical="center" indent="3"/>
    </xf>
    <xf numFmtId="164" fontId="4" fillId="4" borderId="6" xfId="1" applyNumberFormat="1" applyFont="1" applyFill="1" applyBorder="1" applyAlignment="1">
      <alignment horizontal="right" vertical="center" wrapText="1" indent="1"/>
    </xf>
    <xf numFmtId="164" fontId="4" fillId="0" borderId="6" xfId="1" applyNumberFormat="1" applyFont="1" applyFill="1" applyBorder="1" applyAlignment="1">
      <alignment horizontal="right" vertical="center" wrapText="1" indent="2"/>
    </xf>
    <xf numFmtId="0" fontId="2" fillId="0" borderId="3" xfId="0" applyFont="1" applyBorder="1" applyAlignment="1">
      <alignment vertical="center"/>
    </xf>
    <xf numFmtId="164" fontId="4" fillId="0" borderId="6" xfId="1" applyNumberFormat="1" applyFont="1" applyFill="1" applyBorder="1" applyAlignment="1">
      <alignment horizontal="right" vertical="center" indent="2"/>
    </xf>
    <xf numFmtId="164" fontId="4" fillId="0" borderId="6" xfId="1" applyNumberFormat="1" applyFont="1" applyFill="1" applyBorder="1" applyAlignment="1">
      <alignment horizontal="right" vertical="center" indent="1"/>
    </xf>
    <xf numFmtId="164" fontId="2" fillId="3" borderId="6" xfId="1" applyNumberFormat="1" applyFont="1" applyFill="1" applyBorder="1" applyAlignment="1">
      <alignment horizontal="right" vertical="center" indent="1"/>
    </xf>
    <xf numFmtId="0" fontId="3" fillId="0" borderId="6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164" fontId="4" fillId="4" borderId="6" xfId="1" applyNumberFormat="1" applyFont="1" applyFill="1" applyBorder="1" applyAlignment="1">
      <alignment horizontal="right" vertical="center" indent="1"/>
    </xf>
    <xf numFmtId="0" fontId="4" fillId="0" borderId="0" xfId="0" applyFont="1" applyAlignment="1">
      <alignment vertical="center"/>
    </xf>
    <xf numFmtId="0" fontId="2" fillId="3" borderId="6" xfId="0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2" fillId="2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6" xfId="1" applyNumberFormat="1" applyFont="1" applyFill="1" applyBorder="1" applyAlignment="1">
      <alignment horizontal="right" vertical="center" indent="1"/>
    </xf>
    <xf numFmtId="164" fontId="2" fillId="2" borderId="6" xfId="1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4" fontId="4" fillId="0" borderId="0" xfId="0" applyNumberFormat="1" applyFont="1" applyAlignment="1">
      <alignment horizontal="right" vertical="center"/>
    </xf>
    <xf numFmtId="39" fontId="3" fillId="0" borderId="0" xfId="0" applyNumberFormat="1" applyFont="1" applyAlignment="1">
      <alignment horizontal="right" vertical="center"/>
    </xf>
    <xf numFmtId="164" fontId="3" fillId="0" borderId="0" xfId="1" applyNumberFormat="1" applyFont="1"/>
    <xf numFmtId="16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33C-04EB-4A24-A16E-1141584456CD}">
  <dimension ref="A1:F47"/>
  <sheetViews>
    <sheetView tabSelected="1" topLeftCell="A9" workbookViewId="0">
      <selection sqref="A1:XFD1048576"/>
    </sheetView>
  </sheetViews>
  <sheetFormatPr defaultColWidth="10" defaultRowHeight="12" x14ac:dyDescent="0.15"/>
  <cols>
    <col min="1" max="1" width="15.85546875" style="2" customWidth="1"/>
    <col min="2" max="2" width="117.85546875" style="2" customWidth="1"/>
    <col min="3" max="3" width="19.85546875" style="2" customWidth="1"/>
    <col min="4" max="4" width="18.5703125" style="2" customWidth="1"/>
    <col min="5" max="6" width="19" style="2" customWidth="1"/>
    <col min="7" max="16384" width="10" style="2"/>
  </cols>
  <sheetData>
    <row r="1" spans="1:6" ht="20.25" customHeight="1" x14ac:dyDescent="0.15">
      <c r="A1" s="1" t="s">
        <v>0</v>
      </c>
      <c r="B1" s="1"/>
      <c r="C1" s="1"/>
      <c r="D1" s="1"/>
      <c r="E1" s="1"/>
      <c r="F1" s="1"/>
    </row>
    <row r="2" spans="1:6" ht="20.25" customHeight="1" x14ac:dyDescent="0.15">
      <c r="A2" s="3" t="s">
        <v>1</v>
      </c>
      <c r="B2" s="3"/>
      <c r="C2" s="3"/>
      <c r="D2" s="3"/>
      <c r="E2" s="3"/>
      <c r="F2" s="3"/>
    </row>
    <row r="3" spans="1:6" x14ac:dyDescent="0.15">
      <c r="A3" s="4" t="s">
        <v>2</v>
      </c>
      <c r="B3" s="4" t="s">
        <v>3</v>
      </c>
      <c r="C3" s="5" t="s">
        <v>4</v>
      </c>
      <c r="D3" s="6"/>
      <c r="E3" s="7" t="s">
        <v>5</v>
      </c>
      <c r="F3" s="8"/>
    </row>
    <row r="4" spans="1:6" x14ac:dyDescent="0.15">
      <c r="A4" s="9"/>
      <c r="B4" s="9"/>
      <c r="C4" s="10" t="s">
        <v>6</v>
      </c>
      <c r="D4" s="10" t="s">
        <v>7</v>
      </c>
      <c r="E4" s="11" t="s">
        <v>6</v>
      </c>
      <c r="F4" s="11" t="s">
        <v>7</v>
      </c>
    </row>
    <row r="5" spans="1:6" x14ac:dyDescent="0.15">
      <c r="A5" s="12"/>
      <c r="B5" s="13"/>
      <c r="C5" s="14"/>
      <c r="D5" s="14"/>
      <c r="E5" s="15" t="s">
        <v>8</v>
      </c>
      <c r="F5" s="15" t="s">
        <v>8</v>
      </c>
    </row>
    <row r="6" spans="1:6" x14ac:dyDescent="0.15">
      <c r="A6" s="16">
        <v>400110</v>
      </c>
      <c r="B6" s="17" t="s">
        <v>9</v>
      </c>
      <c r="C6" s="18">
        <f>SUM(C7:C10)</f>
        <v>3280</v>
      </c>
      <c r="D6" s="18">
        <f>SUM(D7:D10)</f>
        <v>12651.22</v>
      </c>
      <c r="E6" s="18">
        <f>SUM(E7:E10)</f>
        <v>422976</v>
      </c>
      <c r="F6" s="18">
        <f>SUM(F7:F10)</f>
        <v>623401.04999999993</v>
      </c>
    </row>
    <row r="7" spans="1:6" x14ac:dyDescent="0.15">
      <c r="A7" s="19">
        <v>40011011</v>
      </c>
      <c r="B7" s="20" t="s">
        <v>10</v>
      </c>
      <c r="C7" s="21">
        <v>0</v>
      </c>
      <c r="D7" s="21">
        <v>0</v>
      </c>
      <c r="E7" s="21">
        <v>419500</v>
      </c>
      <c r="F7" s="21">
        <v>609830</v>
      </c>
    </row>
    <row r="8" spans="1:6" x14ac:dyDescent="0.15">
      <c r="A8" s="19">
        <v>40011019</v>
      </c>
      <c r="B8" s="20" t="s">
        <v>11</v>
      </c>
      <c r="C8" s="21">
        <v>0</v>
      </c>
      <c r="D8" s="21">
        <v>0</v>
      </c>
      <c r="E8" s="21">
        <v>155</v>
      </c>
      <c r="F8" s="21">
        <v>686.62</v>
      </c>
    </row>
    <row r="9" spans="1:6" x14ac:dyDescent="0.15">
      <c r="A9" s="19">
        <v>40011021</v>
      </c>
      <c r="B9" s="20" t="s">
        <v>12</v>
      </c>
      <c r="C9" s="21">
        <v>3280</v>
      </c>
      <c r="D9" s="21">
        <v>12651.22</v>
      </c>
      <c r="E9" s="21">
        <f>C9</f>
        <v>3280</v>
      </c>
      <c r="F9" s="21">
        <f>D9</f>
        <v>12651.22</v>
      </c>
    </row>
    <row r="10" spans="1:6" x14ac:dyDescent="0.15">
      <c r="A10" s="19">
        <v>40011029</v>
      </c>
      <c r="B10" s="20" t="s">
        <v>13</v>
      </c>
      <c r="C10" s="21">
        <v>0</v>
      </c>
      <c r="D10" s="21">
        <v>0</v>
      </c>
      <c r="E10" s="21">
        <v>41</v>
      </c>
      <c r="F10" s="21">
        <v>233.21</v>
      </c>
    </row>
    <row r="11" spans="1:6" x14ac:dyDescent="0.15">
      <c r="A11" s="19"/>
      <c r="B11" s="20"/>
      <c r="C11" s="22"/>
      <c r="D11" s="22"/>
      <c r="E11" s="14"/>
      <c r="F11" s="22"/>
    </row>
    <row r="12" spans="1:6" x14ac:dyDescent="0.15">
      <c r="A12" s="16">
        <v>400121</v>
      </c>
      <c r="B12" s="17" t="s">
        <v>14</v>
      </c>
      <c r="C12" s="18">
        <f>SUM(C13:C18)</f>
        <v>2463080</v>
      </c>
      <c r="D12" s="18">
        <f t="shared" ref="D12:F12" si="0">SUM(D13:D18)</f>
        <v>5239334.82</v>
      </c>
      <c r="E12" s="18">
        <f t="shared" si="0"/>
        <v>30786415</v>
      </c>
      <c r="F12" s="18">
        <f t="shared" si="0"/>
        <v>71354956.359999999</v>
      </c>
    </row>
    <row r="13" spans="1:6" x14ac:dyDescent="0.15">
      <c r="A13" s="19">
        <v>40012110</v>
      </c>
      <c r="B13" s="20" t="s">
        <v>15</v>
      </c>
      <c r="C13" s="23">
        <v>2463080</v>
      </c>
      <c r="D13" s="24">
        <v>5239334.82</v>
      </c>
      <c r="E13" s="25">
        <f>C13+28323335</f>
        <v>30786415</v>
      </c>
      <c r="F13" s="25">
        <f>D13+66115621.54</f>
        <v>71354956.359999999</v>
      </c>
    </row>
    <row r="14" spans="1:6" x14ac:dyDescent="0.15">
      <c r="A14" s="19">
        <v>40012120</v>
      </c>
      <c r="B14" s="20" t="s">
        <v>16</v>
      </c>
      <c r="C14" s="26">
        <v>0</v>
      </c>
      <c r="D14" s="21">
        <v>0</v>
      </c>
      <c r="E14" s="21">
        <v>0</v>
      </c>
      <c r="F14" s="21">
        <v>0</v>
      </c>
    </row>
    <row r="15" spans="1:6" x14ac:dyDescent="0.15">
      <c r="A15" s="19">
        <v>40012130</v>
      </c>
      <c r="B15" s="20" t="s">
        <v>17</v>
      </c>
      <c r="C15" s="26">
        <v>0</v>
      </c>
      <c r="D15" s="21">
        <v>0</v>
      </c>
      <c r="E15" s="21">
        <v>0</v>
      </c>
      <c r="F15" s="21">
        <v>0</v>
      </c>
    </row>
    <row r="16" spans="1:6" x14ac:dyDescent="0.15">
      <c r="A16" s="19">
        <v>40012140</v>
      </c>
      <c r="B16" s="20" t="s">
        <v>18</v>
      </c>
      <c r="C16" s="26">
        <v>0</v>
      </c>
      <c r="D16" s="21">
        <v>0</v>
      </c>
      <c r="E16" s="21">
        <v>0</v>
      </c>
      <c r="F16" s="21">
        <v>0</v>
      </c>
    </row>
    <row r="17" spans="1:6" x14ac:dyDescent="0.15">
      <c r="A17" s="19">
        <v>40012150</v>
      </c>
      <c r="B17" s="20" t="s">
        <v>19</v>
      </c>
      <c r="C17" s="26">
        <v>0</v>
      </c>
      <c r="D17" s="21">
        <v>0</v>
      </c>
      <c r="E17" s="21">
        <v>0</v>
      </c>
      <c r="F17" s="21">
        <v>0</v>
      </c>
    </row>
    <row r="18" spans="1:6" x14ac:dyDescent="0.15">
      <c r="A18" s="19">
        <v>40012190</v>
      </c>
      <c r="B18" s="20" t="s">
        <v>20</v>
      </c>
      <c r="C18" s="26">
        <v>0</v>
      </c>
      <c r="D18" s="21">
        <v>0</v>
      </c>
      <c r="E18" s="21">
        <v>0</v>
      </c>
      <c r="F18" s="21">
        <v>0</v>
      </c>
    </row>
    <row r="19" spans="1:6" x14ac:dyDescent="0.15">
      <c r="A19" s="19"/>
      <c r="B19" s="27"/>
      <c r="C19" s="28"/>
      <c r="D19" s="29"/>
      <c r="E19" s="29"/>
      <c r="F19" s="29"/>
    </row>
    <row r="20" spans="1:6" x14ac:dyDescent="0.15">
      <c r="A20" s="16">
        <v>400122</v>
      </c>
      <c r="B20" s="17" t="s">
        <v>21</v>
      </c>
      <c r="C20" s="30">
        <f>SUM(C21:C27)</f>
        <v>98008690.400000006</v>
      </c>
      <c r="D20" s="30">
        <f>SUM(D21:D27)</f>
        <v>177566773.52000001</v>
      </c>
      <c r="E20" s="30">
        <f>SUM(E21:E27)</f>
        <v>1426812622.2800002</v>
      </c>
      <c r="F20" s="30">
        <f>SUM(F21:F27)</f>
        <v>2704152713.9899993</v>
      </c>
    </row>
    <row r="21" spans="1:6" x14ac:dyDescent="0.15">
      <c r="A21" s="31">
        <v>40012210</v>
      </c>
      <c r="B21" s="32" t="s">
        <v>22</v>
      </c>
      <c r="C21" s="29">
        <v>6239520</v>
      </c>
      <c r="D21" s="29">
        <v>11351430.050000001</v>
      </c>
      <c r="E21" s="33">
        <f>C21+90559018.4</f>
        <v>96798538.400000006</v>
      </c>
      <c r="F21" s="33">
        <f>D21+174839114.53</f>
        <v>186190544.58000001</v>
      </c>
    </row>
    <row r="22" spans="1:6" x14ac:dyDescent="0.15">
      <c r="A22" s="31">
        <v>40012220</v>
      </c>
      <c r="B22" s="32" t="s">
        <v>23</v>
      </c>
      <c r="C22" s="29">
        <v>91010568.400000006</v>
      </c>
      <c r="D22" s="29">
        <v>164634364.12</v>
      </c>
      <c r="E22" s="33">
        <f>C22+1224368895.38</f>
        <v>1315379463.7800002</v>
      </c>
      <c r="F22" s="33">
        <f>D22+2321219361.72</f>
        <v>2485853725.8399997</v>
      </c>
    </row>
    <row r="23" spans="1:6" x14ac:dyDescent="0.15">
      <c r="A23" s="31">
        <v>40012230</v>
      </c>
      <c r="B23" s="32" t="s">
        <v>24</v>
      </c>
      <c r="C23" s="21">
        <v>98280</v>
      </c>
      <c r="D23" s="21">
        <v>221092.2</v>
      </c>
      <c r="E23" s="33">
        <f>C23+1689660</f>
        <v>1787940</v>
      </c>
      <c r="F23" s="33">
        <f>D23+5069817.9</f>
        <v>5290910.1000000006</v>
      </c>
    </row>
    <row r="24" spans="1:6" x14ac:dyDescent="0.15">
      <c r="A24" s="31">
        <v>40012240</v>
      </c>
      <c r="B24" s="32" t="s">
        <v>25</v>
      </c>
      <c r="C24" s="21">
        <v>544320</v>
      </c>
      <c r="D24" s="21">
        <v>1051393.79</v>
      </c>
      <c r="E24" s="33">
        <f>C24+11265660</f>
        <v>11809980</v>
      </c>
      <c r="F24" s="33">
        <f>D24+22097912.54</f>
        <v>23149306.329999998</v>
      </c>
    </row>
    <row r="25" spans="1:6" x14ac:dyDescent="0.15">
      <c r="A25" s="31">
        <v>40012250</v>
      </c>
      <c r="B25" s="32" t="s">
        <v>26</v>
      </c>
      <c r="C25" s="21">
        <v>0</v>
      </c>
      <c r="D25" s="21">
        <v>0</v>
      </c>
      <c r="E25" s="21">
        <v>6</v>
      </c>
      <c r="F25" s="21">
        <v>8.64</v>
      </c>
    </row>
    <row r="26" spans="1:6" x14ac:dyDescent="0.15">
      <c r="A26" s="31">
        <v>40012260</v>
      </c>
      <c r="B26" s="32" t="s">
        <v>27</v>
      </c>
      <c r="C26" s="21">
        <v>0</v>
      </c>
      <c r="D26" s="21">
        <v>0</v>
      </c>
      <c r="E26" s="21">
        <v>0</v>
      </c>
      <c r="F26" s="21">
        <v>0</v>
      </c>
    </row>
    <row r="27" spans="1:6" x14ac:dyDescent="0.15">
      <c r="A27" s="31">
        <v>40012290</v>
      </c>
      <c r="B27" s="34" t="s">
        <v>28</v>
      </c>
      <c r="C27" s="21">
        <v>116002</v>
      </c>
      <c r="D27" s="21">
        <v>308493.36</v>
      </c>
      <c r="E27" s="21">
        <f>C27+920692.1</f>
        <v>1036694.1</v>
      </c>
      <c r="F27" s="21">
        <f>D27+3359725.14</f>
        <v>3668218.5</v>
      </c>
    </row>
    <row r="28" spans="1:6" x14ac:dyDescent="0.15">
      <c r="A28" s="19"/>
      <c r="B28" s="20"/>
      <c r="C28" s="29"/>
      <c r="D28" s="29"/>
      <c r="E28" s="29"/>
      <c r="F28" s="29"/>
    </row>
    <row r="29" spans="1:6" x14ac:dyDescent="0.15">
      <c r="A29" s="35">
        <v>400280</v>
      </c>
      <c r="B29" s="17" t="s">
        <v>29</v>
      </c>
      <c r="C29" s="30">
        <f>SUM(C30:C31)</f>
        <v>20817722.09</v>
      </c>
      <c r="D29" s="30">
        <f>SUM(D30:D31)</f>
        <v>36859588.299999997</v>
      </c>
      <c r="E29" s="30">
        <f>SUM(E30:E31)</f>
        <v>90154972.109999999</v>
      </c>
      <c r="F29" s="30">
        <f>SUM(F30:F31)</f>
        <v>163971549.40000001</v>
      </c>
    </row>
    <row r="30" spans="1:6" x14ac:dyDescent="0.15">
      <c r="A30" s="31">
        <v>40028010</v>
      </c>
      <c r="B30" s="32" t="s">
        <v>30</v>
      </c>
      <c r="C30" s="29">
        <v>8910720.0899999999</v>
      </c>
      <c r="D30" s="29">
        <v>15614509.35</v>
      </c>
      <c r="E30" s="33">
        <f>C30+20039040.63</f>
        <v>28949760.719999999</v>
      </c>
      <c r="F30" s="33">
        <f>D30+35753234.9</f>
        <v>51367744.25</v>
      </c>
    </row>
    <row r="31" spans="1:6" x14ac:dyDescent="0.15">
      <c r="A31" s="31">
        <v>40028090</v>
      </c>
      <c r="B31" s="32" t="s">
        <v>31</v>
      </c>
      <c r="C31" s="29">
        <v>11907002</v>
      </c>
      <c r="D31" s="29">
        <v>21245078.949999999</v>
      </c>
      <c r="E31" s="33">
        <f>C31+49298209.39</f>
        <v>61205211.390000001</v>
      </c>
      <c r="F31" s="33">
        <f>D31+91358726.2</f>
        <v>112603805.15000001</v>
      </c>
    </row>
    <row r="32" spans="1:6" x14ac:dyDescent="0.15">
      <c r="A32" s="19"/>
      <c r="B32" s="20"/>
      <c r="C32" s="29"/>
      <c r="D32" s="29"/>
      <c r="E32" s="29"/>
      <c r="F32" s="29"/>
    </row>
    <row r="33" spans="1:6" x14ac:dyDescent="0.15">
      <c r="A33" s="35">
        <v>400510</v>
      </c>
      <c r="B33" s="17" t="s">
        <v>32</v>
      </c>
      <c r="C33" s="30">
        <f>SUM(C34:C41)</f>
        <v>3039195.16</v>
      </c>
      <c r="D33" s="30">
        <f>SUM(D34:D41)</f>
        <v>9131054.6400000006</v>
      </c>
      <c r="E33" s="30">
        <f>SUM(E34:E41)</f>
        <v>26191628.850000005</v>
      </c>
      <c r="F33" s="30">
        <f>SUM(F34:F41)</f>
        <v>86804841.040000007</v>
      </c>
    </row>
    <row r="34" spans="1:6" x14ac:dyDescent="0.15">
      <c r="A34" s="31">
        <v>40051010</v>
      </c>
      <c r="B34" s="32" t="s">
        <v>33</v>
      </c>
      <c r="C34" s="29">
        <v>67256.070000000007</v>
      </c>
      <c r="D34" s="29">
        <v>167357.71</v>
      </c>
      <c r="E34" s="33">
        <f>C34+385883.85</f>
        <v>453139.92</v>
      </c>
      <c r="F34" s="33">
        <f>D34+1572719.91</f>
        <v>1740077.6199999999</v>
      </c>
    </row>
    <row r="35" spans="1:6" x14ac:dyDescent="0.15">
      <c r="A35" s="31">
        <v>40051090</v>
      </c>
      <c r="B35" s="32" t="s">
        <v>34</v>
      </c>
      <c r="C35" s="29">
        <v>965366.79</v>
      </c>
      <c r="D35" s="29">
        <v>1878659.61</v>
      </c>
      <c r="E35" s="33">
        <f>C35+7271976.19</f>
        <v>8237342.9800000004</v>
      </c>
      <c r="F35" s="33">
        <f>D35+15821007.02</f>
        <v>17699666.629999999</v>
      </c>
    </row>
    <row r="36" spans="1:6" x14ac:dyDescent="0.15">
      <c r="A36" s="31">
        <v>40052000</v>
      </c>
      <c r="B36" s="32" t="s">
        <v>35</v>
      </c>
      <c r="C36" s="21">
        <v>0</v>
      </c>
      <c r="D36" s="21">
        <v>0</v>
      </c>
      <c r="E36" s="33">
        <v>1704.71</v>
      </c>
      <c r="F36" s="33">
        <v>7095.8</v>
      </c>
    </row>
    <row r="37" spans="1:6" x14ac:dyDescent="0.15">
      <c r="A37" s="31">
        <v>40059110</v>
      </c>
      <c r="B37" s="32" t="s">
        <v>36</v>
      </c>
      <c r="C37" s="21">
        <v>0</v>
      </c>
      <c r="D37" s="21">
        <v>0</v>
      </c>
      <c r="E37" s="21">
        <v>2113</v>
      </c>
      <c r="F37" s="21">
        <v>3749.52</v>
      </c>
    </row>
    <row r="38" spans="1:6" x14ac:dyDescent="0.15">
      <c r="A38" s="31">
        <v>40059190</v>
      </c>
      <c r="B38" s="32" t="s">
        <v>37</v>
      </c>
      <c r="C38" s="29">
        <v>1553607.3</v>
      </c>
      <c r="D38" s="29">
        <v>6861748.4000000004</v>
      </c>
      <c r="E38" s="33">
        <f>C38+11925658.46</f>
        <v>13479265.760000002</v>
      </c>
      <c r="F38" s="33">
        <f>D38+55411491.71</f>
        <v>62273240.109999999</v>
      </c>
    </row>
    <row r="39" spans="1:6" x14ac:dyDescent="0.15">
      <c r="A39" s="31">
        <v>40059910</v>
      </c>
      <c r="B39" s="36" t="s">
        <v>38</v>
      </c>
      <c r="C39" s="21">
        <v>0</v>
      </c>
      <c r="D39" s="21">
        <v>0</v>
      </c>
      <c r="E39" s="21">
        <v>1237</v>
      </c>
      <c r="F39" s="21">
        <v>2210</v>
      </c>
    </row>
    <row r="40" spans="1:6" x14ac:dyDescent="0.15">
      <c r="A40" s="31">
        <v>40059920</v>
      </c>
      <c r="B40" s="32" t="s">
        <v>39</v>
      </c>
      <c r="C40" s="21">
        <v>0</v>
      </c>
      <c r="D40" s="21">
        <v>0</v>
      </c>
      <c r="E40" s="33">
        <v>915.29</v>
      </c>
      <c r="F40" s="33">
        <v>2544.1</v>
      </c>
    </row>
    <row r="41" spans="1:6" x14ac:dyDescent="0.15">
      <c r="A41" s="31">
        <v>40059990</v>
      </c>
      <c r="B41" s="32" t="s">
        <v>40</v>
      </c>
      <c r="C41" s="29">
        <v>452965</v>
      </c>
      <c r="D41" s="29">
        <v>223288.92</v>
      </c>
      <c r="E41" s="33">
        <f>C41+3562945.19</f>
        <v>4015910.19</v>
      </c>
      <c r="F41" s="33">
        <f>D41+4852968.34</f>
        <v>5076257.26</v>
      </c>
    </row>
    <row r="42" spans="1:6" x14ac:dyDescent="0.15">
      <c r="A42" s="31"/>
      <c r="B42" s="32"/>
      <c r="C42" s="29"/>
      <c r="D42" s="29"/>
      <c r="E42" s="29"/>
      <c r="F42" s="29"/>
    </row>
    <row r="43" spans="1:6" x14ac:dyDescent="0.15">
      <c r="A43" s="37"/>
      <c r="B43" s="38" t="s">
        <v>41</v>
      </c>
      <c r="C43" s="39">
        <f>C6+C12+C20+C29+C33</f>
        <v>124331967.65000001</v>
      </c>
      <c r="D43" s="40">
        <f>D6+D12+D20+D29+D33</f>
        <v>228809402.5</v>
      </c>
      <c r="E43" s="39">
        <f>E6+E12+E20+E29+E33</f>
        <v>1574368614.24</v>
      </c>
      <c r="F43" s="39">
        <f>F6+F12+F20+F29+F33</f>
        <v>3026907461.8399992</v>
      </c>
    </row>
    <row r="44" spans="1:6" x14ac:dyDescent="0.15">
      <c r="A44" s="41" t="s">
        <v>42</v>
      </c>
      <c r="B44" s="41"/>
      <c r="C44" s="42"/>
      <c r="D44" s="42"/>
      <c r="E44" s="43"/>
      <c r="F44" s="43"/>
    </row>
    <row r="45" spans="1:6" x14ac:dyDescent="0.15">
      <c r="C45" s="44"/>
      <c r="D45" s="44"/>
    </row>
    <row r="46" spans="1:6" x14ac:dyDescent="0.15">
      <c r="C46" s="44"/>
      <c r="D46" s="44"/>
      <c r="E46" s="44"/>
      <c r="F46" s="44"/>
    </row>
    <row r="47" spans="1:6" x14ac:dyDescent="0.15">
      <c r="C47" s="45"/>
      <c r="D47" s="45"/>
      <c r="E47" s="45"/>
      <c r="F47" s="45"/>
    </row>
  </sheetData>
  <mergeCells count="7">
    <mergeCell ref="A44:B44"/>
    <mergeCell ref="A1:F1"/>
    <mergeCell ref="A2:F2"/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Kuning</dc:creator>
  <cp:lastModifiedBy>Dino Kuning</cp:lastModifiedBy>
  <dcterms:created xsi:type="dcterms:W3CDTF">2026-02-10T09:15:58Z</dcterms:created>
  <dcterms:modified xsi:type="dcterms:W3CDTF">2026-02-10T09:16:18Z</dcterms:modified>
</cp:coreProperties>
</file>