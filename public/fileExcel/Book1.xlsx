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o Kuning\Downloads\"/>
    </mc:Choice>
  </mc:AlternateContent>
  <xr:revisionPtr revIDLastSave="0" documentId="8_{0FF7DD26-4BCE-490B-90DB-4505614BBCBB}" xr6:coauthVersionLast="47" xr6:coauthVersionMax="47" xr10:uidLastSave="{00000000-0000-0000-0000-000000000000}"/>
  <bookViews>
    <workbookView xWindow="-120" yWindow="-120" windowWidth="20730" windowHeight="11160" xr2:uid="{29853096-2B58-43FB-B38B-E9BE2A8B97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8" i="1" l="1"/>
  <c r="E68" i="1"/>
  <c r="D68" i="1"/>
  <c r="C68" i="1"/>
  <c r="F65" i="1"/>
  <c r="E65" i="1"/>
  <c r="D65" i="1"/>
  <c r="C65" i="1"/>
  <c r="F61" i="1"/>
  <c r="E61" i="1"/>
  <c r="D61" i="1"/>
  <c r="C61" i="1"/>
  <c r="F58" i="1"/>
  <c r="F57" i="1" s="1"/>
  <c r="E58" i="1"/>
  <c r="E57" i="1"/>
  <c r="D57" i="1"/>
  <c r="C57" i="1"/>
  <c r="F54" i="1"/>
  <c r="E54" i="1"/>
  <c r="D54" i="1"/>
  <c r="C54" i="1"/>
  <c r="F52" i="1"/>
  <c r="E52" i="1"/>
  <c r="E51" i="1" s="1"/>
  <c r="F51" i="1"/>
  <c r="D51" i="1"/>
  <c r="C51" i="1"/>
  <c r="F47" i="1"/>
  <c r="F46" i="1" s="1"/>
  <c r="E47" i="1"/>
  <c r="E46" i="1"/>
  <c r="D46" i="1"/>
  <c r="C46" i="1"/>
  <c r="F44" i="1"/>
  <c r="E44" i="1"/>
  <c r="E43" i="1" s="1"/>
  <c r="F43" i="1"/>
  <c r="D43" i="1"/>
  <c r="C43" i="1"/>
  <c r="F40" i="1"/>
  <c r="E40" i="1"/>
  <c r="F39" i="1"/>
  <c r="E39" i="1"/>
  <c r="E38" i="1" s="1"/>
  <c r="F38" i="1"/>
  <c r="D38" i="1"/>
  <c r="C38" i="1"/>
  <c r="F35" i="1"/>
  <c r="E35" i="1"/>
  <c r="D35" i="1"/>
  <c r="C35" i="1"/>
  <c r="F30" i="1"/>
  <c r="F29" i="1" s="1"/>
  <c r="F71" i="1" s="1"/>
  <c r="E30" i="1"/>
  <c r="E29" i="1"/>
  <c r="D29" i="1"/>
  <c r="C29" i="1"/>
  <c r="F27" i="1"/>
  <c r="E27" i="1"/>
  <c r="E26" i="1" s="1"/>
  <c r="F26" i="1"/>
  <c r="D26" i="1"/>
  <c r="C26" i="1"/>
  <c r="F23" i="1"/>
  <c r="E23" i="1"/>
  <c r="D23" i="1"/>
  <c r="C23" i="1"/>
  <c r="F14" i="1"/>
  <c r="E14" i="1"/>
  <c r="D14" i="1"/>
  <c r="C14" i="1"/>
  <c r="F11" i="1"/>
  <c r="E11" i="1"/>
  <c r="D11" i="1"/>
  <c r="C11" i="1"/>
  <c r="F9" i="1"/>
  <c r="E9" i="1"/>
  <c r="F7" i="1"/>
  <c r="E7" i="1"/>
  <c r="E6" i="1" s="1"/>
  <c r="F6" i="1"/>
  <c r="D6" i="1"/>
  <c r="D71" i="1" s="1"/>
  <c r="C6" i="1"/>
  <c r="C71" i="1" s="1"/>
  <c r="E71" i="1" l="1"/>
</calcChain>
</file>

<file path=xl/sharedStrings.xml><?xml version="1.0" encoding="utf-8"?>
<sst xmlns="http://schemas.openxmlformats.org/spreadsheetml/2006/main" count="62" uniqueCount="59">
  <si>
    <t xml:space="preserve">EKSPOR KARET ALAM INDONESIA MENURUT PELABUHAN MUAT </t>
  </si>
  <si>
    <t>PERIODE : NOVEMBER 2025</t>
  </si>
  <si>
    <t>NO</t>
  </si>
  <si>
    <t>PELABUHAN MUAT</t>
  </si>
  <si>
    <t>NOVEMBER 2025</t>
  </si>
  <si>
    <t xml:space="preserve"> JANUARI - NOVEMBER  2025</t>
  </si>
  <si>
    <t xml:space="preserve"> Volume (Kg) </t>
  </si>
  <si>
    <t xml:space="preserve"> Nilai (US$) </t>
  </si>
  <si>
    <t>SUMATERA UTARA</t>
  </si>
  <si>
    <t>BELAWAN</t>
  </si>
  <si>
    <t>KUALA NAMU INTERNATIONAL (U)</t>
  </si>
  <si>
    <t>TANJUNG BERINGIN</t>
  </si>
  <si>
    <t>SUMATERA BARAT</t>
  </si>
  <si>
    <t>PADANG/TL.BAYUR</t>
  </si>
  <si>
    <t>R I A U</t>
  </si>
  <si>
    <t>KIJANG</t>
  </si>
  <si>
    <t>SEKUPANG</t>
  </si>
  <si>
    <t>BATU AMPAR</t>
  </si>
  <si>
    <t>TANJUNG BALAI KARIMUN</t>
  </si>
  <si>
    <t>TANJUNG PINANG</t>
  </si>
  <si>
    <t>KABIL/PANAU</t>
  </si>
  <si>
    <t>PEKAN BARU</t>
  </si>
  <si>
    <t>KEPULAUAN BANGKA BELITUNG</t>
  </si>
  <si>
    <t>PANGKAL BALAM</t>
  </si>
  <si>
    <t>J A M B I</t>
  </si>
  <si>
    <t>JAMBI</t>
  </si>
  <si>
    <t>SUMATRA SELATAN</t>
  </si>
  <si>
    <t>MUSI RIVER/BOOM BARU</t>
  </si>
  <si>
    <t>PALEMBANG-PLAJU</t>
  </si>
  <si>
    <t>PALEMBANG-KERTAPATI</t>
  </si>
  <si>
    <t>SM. BADARUDDIN (U)</t>
  </si>
  <si>
    <t>LAMPUNG</t>
  </si>
  <si>
    <t>PANJANG</t>
  </si>
  <si>
    <t>DKI/JAWA BARAT</t>
  </si>
  <si>
    <t>TANJUNG PRIOK</t>
  </si>
  <si>
    <t>SOEKARNO-HATTA (U)</t>
  </si>
  <si>
    <t>PAMANUKAN, JAVA</t>
  </si>
  <si>
    <t>JAWA TENGAH</t>
  </si>
  <si>
    <t>TANJUNG EMAS</t>
  </si>
  <si>
    <t>JAWA TIMUR</t>
  </si>
  <si>
    <t>TANJUNG PERAK</t>
  </si>
  <si>
    <t>JUANDA (U)-SURABAYA</t>
  </si>
  <si>
    <t>DJANKAR</t>
  </si>
  <si>
    <t>BALI</t>
  </si>
  <si>
    <t>NGURAH RAI(U)</t>
  </si>
  <si>
    <t>KALIMANTAN SELATAN</t>
  </si>
  <si>
    <t>BANJARMASIN</t>
  </si>
  <si>
    <t>KALIMANTAN BARAT</t>
  </si>
  <si>
    <t>PONTIANAK</t>
  </si>
  <si>
    <t>SINGKAWANG</t>
  </si>
  <si>
    <t>NUSA TENGGARA TIMUR</t>
  </si>
  <si>
    <t>ATAPUPU</t>
  </si>
  <si>
    <t>ATAMBUA (U)</t>
  </si>
  <si>
    <t>SULAWESI SELATAN</t>
  </si>
  <si>
    <t>MAKASSAR</t>
  </si>
  <si>
    <t>PAPUA</t>
  </si>
  <si>
    <t>JAYAPURA</t>
  </si>
  <si>
    <t>TOTAL</t>
  </si>
  <si>
    <t>SUMBER : BPS (diolah),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</si>
</sst>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Aptos"/>
      <charset val="134"/>
    </font>
    <font>
      <sz val="10"/>
      <color theme="1"/>
      <name val="Aptos"/>
      <charset val="134"/>
    </font>
    <font>
      <sz val="10"/>
      <color rgb="FF000000"/>
      <name val="Aptos"/>
      <charset val="134"/>
    </font>
    <font>
      <b/>
      <sz val="10"/>
      <color theme="1"/>
      <name val="Aptos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CC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1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164" fontId="2" fillId="2" borderId="3" xfId="1" quotePrefix="1" applyNumberFormat="1" applyFont="1" applyFill="1" applyBorder="1" applyAlignment="1">
      <alignment horizontal="center" vertical="center" wrapText="1"/>
    </xf>
    <xf numFmtId="164" fontId="2" fillId="2" borderId="4" xfId="1" applyNumberFormat="1" applyFont="1" applyFill="1" applyBorder="1" applyAlignment="1">
      <alignment horizontal="center" vertical="center" wrapText="1"/>
    </xf>
    <xf numFmtId="164" fontId="2" fillId="2" borderId="3" xfId="1" applyNumberFormat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164" fontId="2" fillId="2" borderId="6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64" fontId="2" fillId="0" borderId="3" xfId="1" applyNumberFormat="1" applyFont="1" applyFill="1" applyBorder="1" applyAlignment="1">
      <alignment horizontal="right" wrapText="1"/>
    </xf>
    <xf numFmtId="164" fontId="3" fillId="0" borderId="6" xfId="1" applyNumberFormat="1" applyFont="1" applyFill="1" applyBorder="1" applyAlignment="1">
      <alignment horizontal="right" wrapText="1"/>
    </xf>
    <xf numFmtId="164" fontId="2" fillId="0" borderId="6" xfId="1" applyNumberFormat="1" applyFont="1" applyFill="1" applyBorder="1" applyAlignment="1">
      <alignment horizontal="right" wrapText="1"/>
    </xf>
    <xf numFmtId="0" fontId="2" fillId="0" borderId="6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164" fontId="3" fillId="0" borderId="6" xfId="0" applyNumberFormat="1" applyFont="1" applyBorder="1" applyAlignment="1">
      <alignment horizontal="right" wrapText="1"/>
    </xf>
    <xf numFmtId="164" fontId="4" fillId="0" borderId="6" xfId="1" applyNumberFormat="1" applyFont="1" applyFill="1" applyBorder="1" applyAlignment="1">
      <alignment horizontal="right" wrapText="1"/>
    </xf>
    <xf numFmtId="0" fontId="4" fillId="0" borderId="6" xfId="0" applyFont="1" applyBorder="1" applyAlignment="1">
      <alignment vertical="center" wrapText="1"/>
    </xf>
    <xf numFmtId="164" fontId="5" fillId="0" borderId="6" xfId="1" applyNumberFormat="1" applyFont="1" applyFill="1" applyBorder="1" applyAlignment="1">
      <alignment horizontal="right" wrapText="1"/>
    </xf>
    <xf numFmtId="0" fontId="2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43" fontId="5" fillId="0" borderId="6" xfId="1" applyFont="1" applyFill="1" applyBorder="1" applyAlignment="1">
      <alignment horizontal="right" wrapText="1"/>
    </xf>
    <xf numFmtId="43" fontId="3" fillId="0" borderId="6" xfId="0" applyNumberFormat="1" applyFont="1" applyBorder="1" applyAlignment="1">
      <alignment horizontal="right" wrapText="1"/>
    </xf>
    <xf numFmtId="43" fontId="4" fillId="0" borderId="6" xfId="1" applyFont="1" applyFill="1" applyBorder="1" applyAlignment="1">
      <alignment horizontal="right" wrapText="1"/>
    </xf>
    <xf numFmtId="0" fontId="5" fillId="0" borderId="0" xfId="0" applyFont="1" applyAlignment="1">
      <alignment horizontal="center"/>
    </xf>
    <xf numFmtId="0" fontId="5" fillId="0" borderId="0" xfId="0" applyFont="1"/>
    <xf numFmtId="0" fontId="4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vertical="center"/>
    </xf>
    <xf numFmtId="164" fontId="5" fillId="2" borderId="6" xfId="1" applyNumberFormat="1" applyFont="1" applyFill="1" applyBorder="1" applyAlignment="1">
      <alignment horizontal="right" wrapText="1"/>
    </xf>
    <xf numFmtId="0" fontId="4" fillId="0" borderId="0" xfId="0" applyFont="1" applyAlignment="1">
      <alignment vertical="center"/>
    </xf>
    <xf numFmtId="164" fontId="3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4BF07-8F09-4CF6-BB98-DE04C51231DE}">
  <dimension ref="A1:G72"/>
  <sheetViews>
    <sheetView tabSelected="1" workbookViewId="0">
      <selection sqref="A1:XFD1048576"/>
    </sheetView>
  </sheetViews>
  <sheetFormatPr defaultColWidth="10" defaultRowHeight="12" x14ac:dyDescent="0.15"/>
  <cols>
    <col min="1" max="1" width="7.140625" style="3" customWidth="1"/>
    <col min="2" max="2" width="60" style="3" customWidth="1"/>
    <col min="3" max="3" width="18" style="34" customWidth="1"/>
    <col min="4" max="4" width="16.85546875" style="34" customWidth="1"/>
    <col min="5" max="5" width="18.42578125" style="34" customWidth="1"/>
    <col min="6" max="6" width="18.140625" style="34" customWidth="1"/>
    <col min="7" max="7" width="10" style="2"/>
    <col min="8" max="9" width="14.5703125" style="3" customWidth="1"/>
    <col min="10" max="16384" width="10" style="3"/>
  </cols>
  <sheetData>
    <row r="1" spans="1:6" x14ac:dyDescent="0.15">
      <c r="A1" s="1" t="s">
        <v>0</v>
      </c>
      <c r="B1" s="1"/>
      <c r="C1" s="1"/>
      <c r="D1" s="1"/>
      <c r="E1" s="1"/>
      <c r="F1" s="1"/>
    </row>
    <row r="2" spans="1:6" x14ac:dyDescent="0.15">
      <c r="A2" s="4" t="s">
        <v>1</v>
      </c>
      <c r="B2" s="4"/>
      <c r="C2" s="4"/>
      <c r="D2" s="4"/>
      <c r="E2" s="4"/>
      <c r="F2" s="4"/>
    </row>
    <row r="3" spans="1:6" x14ac:dyDescent="0.15">
      <c r="A3" s="5" t="s">
        <v>2</v>
      </c>
      <c r="B3" s="5" t="s">
        <v>3</v>
      </c>
      <c r="C3" s="6" t="s">
        <v>4</v>
      </c>
      <c r="D3" s="7"/>
      <c r="E3" s="8" t="s">
        <v>5</v>
      </c>
      <c r="F3" s="7"/>
    </row>
    <row r="4" spans="1:6" x14ac:dyDescent="0.15">
      <c r="A4" s="9"/>
      <c r="B4" s="9"/>
      <c r="C4" s="10" t="s">
        <v>6</v>
      </c>
      <c r="D4" s="10" t="s">
        <v>7</v>
      </c>
      <c r="E4" s="10" t="s">
        <v>6</v>
      </c>
      <c r="F4" s="10" t="s">
        <v>7</v>
      </c>
    </row>
    <row r="5" spans="1:6" x14ac:dyDescent="0.15">
      <c r="A5" s="11"/>
      <c r="B5" s="12"/>
      <c r="C5" s="13"/>
      <c r="D5" s="14"/>
      <c r="E5" s="15"/>
      <c r="F5" s="10" t="s">
        <v>7</v>
      </c>
    </row>
    <row r="6" spans="1:6" x14ac:dyDescent="0.15">
      <c r="A6" s="11">
        <v>1</v>
      </c>
      <c r="B6" s="16" t="s">
        <v>8</v>
      </c>
      <c r="C6" s="15">
        <f>SUM(C7:C9)</f>
        <v>25295272.800000001</v>
      </c>
      <c r="D6" s="15">
        <f>SUM(D7:D9)</f>
        <v>45895153.869999997</v>
      </c>
      <c r="E6" s="15">
        <f>SUM(E7:E9)</f>
        <v>313830737.19999999</v>
      </c>
      <c r="F6" s="15">
        <f>SUM(F7:F9)</f>
        <v>602788750.9000001</v>
      </c>
    </row>
    <row r="7" spans="1:6" x14ac:dyDescent="0.15">
      <c r="A7" s="12"/>
      <c r="B7" s="17" t="s">
        <v>9</v>
      </c>
      <c r="C7" s="18">
        <v>23367472.800000001</v>
      </c>
      <c r="D7" s="18">
        <v>42480155.109999999</v>
      </c>
      <c r="E7" s="19">
        <f>C7+245960064.4</f>
        <v>269327537.19999999</v>
      </c>
      <c r="F7" s="19">
        <f>D7+476530703.73</f>
        <v>519010858.84000003</v>
      </c>
    </row>
    <row r="8" spans="1:6" x14ac:dyDescent="0.15">
      <c r="A8" s="12"/>
      <c r="B8" s="20" t="s">
        <v>10</v>
      </c>
      <c r="C8" s="18">
        <v>0</v>
      </c>
      <c r="D8" s="14">
        <v>0</v>
      </c>
      <c r="E8" s="19">
        <v>0</v>
      </c>
      <c r="F8" s="19">
        <v>0</v>
      </c>
    </row>
    <row r="9" spans="1:6" x14ac:dyDescent="0.15">
      <c r="A9" s="12"/>
      <c r="B9" s="20" t="s">
        <v>11</v>
      </c>
      <c r="C9" s="18">
        <v>1927800</v>
      </c>
      <c r="D9" s="14">
        <v>3414998.76</v>
      </c>
      <c r="E9" s="19">
        <f>C9+42575400</f>
        <v>44503200</v>
      </c>
      <c r="F9" s="19">
        <f>D9+80362893.3</f>
        <v>83777892.060000002</v>
      </c>
    </row>
    <row r="10" spans="1:6" x14ac:dyDescent="0.15">
      <c r="A10" s="17"/>
      <c r="B10" s="16"/>
      <c r="C10" s="14"/>
      <c r="D10" s="18"/>
      <c r="E10" s="15"/>
      <c r="F10" s="15"/>
    </row>
    <row r="11" spans="1:6" x14ac:dyDescent="0.15">
      <c r="A11" s="11">
        <v>2</v>
      </c>
      <c r="B11" s="16" t="s">
        <v>12</v>
      </c>
      <c r="C11" s="21">
        <f>C12</f>
        <v>0</v>
      </c>
      <c r="D11" s="21">
        <f>D12</f>
        <v>0</v>
      </c>
      <c r="E11" s="15">
        <f>SUM(E12)</f>
        <v>0</v>
      </c>
      <c r="F11" s="15">
        <f>SUM(F12)</f>
        <v>0</v>
      </c>
    </row>
    <row r="12" spans="1:6" x14ac:dyDescent="0.15">
      <c r="A12" s="11"/>
      <c r="B12" s="17" t="s">
        <v>13</v>
      </c>
      <c r="C12" s="18">
        <v>0</v>
      </c>
      <c r="D12" s="14">
        <v>0</v>
      </c>
      <c r="E12" s="19">
        <v>0</v>
      </c>
      <c r="F12" s="19">
        <v>0</v>
      </c>
    </row>
    <row r="13" spans="1:6" x14ac:dyDescent="0.15">
      <c r="A13" s="17"/>
      <c r="B13" s="16"/>
      <c r="C13" s="14"/>
      <c r="D13" s="14"/>
      <c r="E13" s="19"/>
      <c r="F13" s="19"/>
    </row>
    <row r="14" spans="1:6" x14ac:dyDescent="0.15">
      <c r="A14" s="11">
        <v>3</v>
      </c>
      <c r="B14" s="16" t="s">
        <v>14</v>
      </c>
      <c r="C14" s="21">
        <f>SUM(C15:C21)</f>
        <v>0</v>
      </c>
      <c r="D14" s="21">
        <f>SUM(D15:D21)</f>
        <v>0</v>
      </c>
      <c r="E14" s="21">
        <f>SUM(E15:E21)</f>
        <v>3945775.09</v>
      </c>
      <c r="F14" s="21">
        <f>SUM(F15:F21)</f>
        <v>7711599.9700000007</v>
      </c>
    </row>
    <row r="15" spans="1:6" x14ac:dyDescent="0.15">
      <c r="A15" s="11"/>
      <c r="B15" s="20" t="s">
        <v>15</v>
      </c>
      <c r="C15" s="14">
        <v>0</v>
      </c>
      <c r="D15" s="14">
        <v>0</v>
      </c>
      <c r="E15" s="19">
        <v>3945480</v>
      </c>
      <c r="F15" s="19">
        <v>7710031.9000000004</v>
      </c>
    </row>
    <row r="16" spans="1:6" x14ac:dyDescent="0.15">
      <c r="A16" s="11"/>
      <c r="B16" s="20" t="s">
        <v>16</v>
      </c>
      <c r="C16" s="14">
        <v>0</v>
      </c>
      <c r="D16" s="14">
        <v>0</v>
      </c>
      <c r="E16" s="19">
        <v>228.59</v>
      </c>
      <c r="F16" s="19">
        <v>1246.1199999999999</v>
      </c>
    </row>
    <row r="17" spans="1:6" x14ac:dyDescent="0.15">
      <c r="A17" s="11"/>
      <c r="B17" s="20" t="s">
        <v>17</v>
      </c>
      <c r="C17" s="14"/>
      <c r="D17" s="14"/>
      <c r="E17" s="19">
        <v>66.5</v>
      </c>
      <c r="F17" s="19">
        <v>321.95</v>
      </c>
    </row>
    <row r="18" spans="1:6" x14ac:dyDescent="0.15">
      <c r="A18" s="11"/>
      <c r="B18" s="20" t="s">
        <v>18</v>
      </c>
      <c r="C18" s="14">
        <v>0</v>
      </c>
      <c r="D18" s="14">
        <v>0</v>
      </c>
      <c r="E18" s="19">
        <v>0</v>
      </c>
      <c r="F18" s="19">
        <v>0</v>
      </c>
    </row>
    <row r="19" spans="1:6" x14ac:dyDescent="0.15">
      <c r="A19" s="11"/>
      <c r="B19" s="20" t="s">
        <v>19</v>
      </c>
      <c r="C19" s="14">
        <v>0</v>
      </c>
      <c r="D19" s="14">
        <v>0</v>
      </c>
      <c r="E19" s="19">
        <v>0</v>
      </c>
      <c r="F19" s="19">
        <v>0</v>
      </c>
    </row>
    <row r="20" spans="1:6" x14ac:dyDescent="0.15">
      <c r="A20" s="11"/>
      <c r="B20" s="20" t="s">
        <v>20</v>
      </c>
      <c r="C20" s="14">
        <v>0</v>
      </c>
      <c r="D20" s="14">
        <v>0</v>
      </c>
      <c r="E20" s="19">
        <v>0</v>
      </c>
      <c r="F20" s="19">
        <v>0</v>
      </c>
    </row>
    <row r="21" spans="1:6" x14ac:dyDescent="0.15">
      <c r="A21" s="17"/>
      <c r="B21" s="20" t="s">
        <v>21</v>
      </c>
      <c r="C21" s="14">
        <v>0</v>
      </c>
      <c r="D21" s="14">
        <v>0</v>
      </c>
      <c r="E21" s="19">
        <v>0</v>
      </c>
      <c r="F21" s="19">
        <v>0</v>
      </c>
    </row>
    <row r="22" spans="1:6" x14ac:dyDescent="0.15">
      <c r="A22" s="17"/>
      <c r="B22" s="22"/>
      <c r="C22" s="14"/>
      <c r="D22" s="14"/>
      <c r="E22" s="19"/>
      <c r="F22" s="19"/>
    </row>
    <row r="23" spans="1:6" x14ac:dyDescent="0.15">
      <c r="A23" s="11">
        <v>4</v>
      </c>
      <c r="B23" s="16" t="s">
        <v>22</v>
      </c>
      <c r="C23" s="21">
        <f>C24</f>
        <v>0</v>
      </c>
      <c r="D23" s="21">
        <f>D24</f>
        <v>0</v>
      </c>
      <c r="E23" s="21">
        <f>E24</f>
        <v>0</v>
      </c>
      <c r="F23" s="21">
        <f>F24</f>
        <v>0</v>
      </c>
    </row>
    <row r="24" spans="1:6" x14ac:dyDescent="0.15">
      <c r="A24" s="17"/>
      <c r="B24" s="20" t="s">
        <v>23</v>
      </c>
      <c r="C24" s="14">
        <v>0</v>
      </c>
      <c r="D24" s="14">
        <v>0</v>
      </c>
      <c r="E24" s="19">
        <v>0</v>
      </c>
      <c r="F24" s="19">
        <v>0</v>
      </c>
    </row>
    <row r="25" spans="1:6" x14ac:dyDescent="0.15">
      <c r="A25" s="17"/>
      <c r="B25" s="16"/>
      <c r="C25" s="14"/>
      <c r="D25" s="14"/>
      <c r="E25" s="19"/>
      <c r="F25" s="19"/>
    </row>
    <row r="26" spans="1:6" x14ac:dyDescent="0.15">
      <c r="A26" s="11">
        <v>5</v>
      </c>
      <c r="B26" s="16" t="s">
        <v>24</v>
      </c>
      <c r="C26" s="21">
        <f>C27</f>
        <v>6849160</v>
      </c>
      <c r="D26" s="21">
        <f>D27</f>
        <v>12653455.109999999</v>
      </c>
      <c r="E26" s="21">
        <f>E27</f>
        <v>95478400</v>
      </c>
      <c r="F26" s="21">
        <f>F27</f>
        <v>183119917.63999999</v>
      </c>
    </row>
    <row r="27" spans="1:6" x14ac:dyDescent="0.15">
      <c r="A27" s="12"/>
      <c r="B27" s="17" t="s">
        <v>25</v>
      </c>
      <c r="C27" s="18">
        <v>6849160</v>
      </c>
      <c r="D27" s="18">
        <v>12653455.109999999</v>
      </c>
      <c r="E27" s="19">
        <f>C27+88629240</f>
        <v>95478400</v>
      </c>
      <c r="F27" s="19">
        <f>D27+170466462.53</f>
        <v>183119917.63999999</v>
      </c>
    </row>
    <row r="28" spans="1:6" x14ac:dyDescent="0.15">
      <c r="A28" s="17"/>
      <c r="B28" s="16"/>
      <c r="C28" s="14"/>
      <c r="D28" s="14"/>
      <c r="E28" s="19"/>
      <c r="F28" s="19"/>
    </row>
    <row r="29" spans="1:6" x14ac:dyDescent="0.15">
      <c r="A29" s="11">
        <v>6</v>
      </c>
      <c r="B29" s="16" t="s">
        <v>26</v>
      </c>
      <c r="C29" s="21">
        <f>SUM(C30:C33)</f>
        <v>43206240</v>
      </c>
      <c r="D29" s="21">
        <f>SUM(D30:D33)</f>
        <v>77864713.569999993</v>
      </c>
      <c r="E29" s="21">
        <f>SUM(E30:E33)</f>
        <v>582100987</v>
      </c>
      <c r="F29" s="21">
        <f>SUM(F30:F33)</f>
        <v>1098939445.8399999</v>
      </c>
    </row>
    <row r="30" spans="1:6" x14ac:dyDescent="0.15">
      <c r="A30" s="11"/>
      <c r="B30" s="17" t="s">
        <v>27</v>
      </c>
      <c r="C30" s="18">
        <v>43206240</v>
      </c>
      <c r="D30" s="18">
        <v>77864713.569999993</v>
      </c>
      <c r="E30" s="19">
        <f>C30+538894747</f>
        <v>582100987</v>
      </c>
      <c r="F30" s="19">
        <f>D30+1021074732.27</f>
        <v>1098939445.8399999</v>
      </c>
    </row>
    <row r="31" spans="1:6" x14ac:dyDescent="0.15">
      <c r="A31" s="12"/>
      <c r="B31" s="20" t="s">
        <v>28</v>
      </c>
      <c r="C31" s="14">
        <v>0</v>
      </c>
      <c r="D31" s="14">
        <v>0</v>
      </c>
      <c r="E31" s="19">
        <v>0</v>
      </c>
      <c r="F31" s="19">
        <v>0</v>
      </c>
    </row>
    <row r="32" spans="1:6" x14ac:dyDescent="0.15">
      <c r="A32" s="12"/>
      <c r="B32" s="20" t="s">
        <v>29</v>
      </c>
      <c r="C32" s="14">
        <v>0</v>
      </c>
      <c r="D32" s="14">
        <v>0</v>
      </c>
      <c r="E32" s="19">
        <v>0</v>
      </c>
      <c r="F32" s="19">
        <v>0</v>
      </c>
    </row>
    <row r="33" spans="1:6" x14ac:dyDescent="0.15">
      <c r="A33" s="12"/>
      <c r="B33" s="23" t="s">
        <v>30</v>
      </c>
      <c r="C33" s="18">
        <v>0</v>
      </c>
      <c r="D33" s="18">
        <v>0</v>
      </c>
      <c r="E33" s="19">
        <v>0</v>
      </c>
      <c r="F33" s="19">
        <v>0</v>
      </c>
    </row>
    <row r="34" spans="1:6" x14ac:dyDescent="0.15">
      <c r="A34" s="17"/>
      <c r="B34" s="16"/>
      <c r="C34" s="14"/>
      <c r="D34" s="14"/>
      <c r="E34" s="19"/>
      <c r="F34" s="19"/>
    </row>
    <row r="35" spans="1:6" x14ac:dyDescent="0.15">
      <c r="A35" s="11">
        <v>7</v>
      </c>
      <c r="B35" s="16" t="s">
        <v>31</v>
      </c>
      <c r="C35" s="21">
        <f>C36</f>
        <v>0</v>
      </c>
      <c r="D35" s="21">
        <f>D36</f>
        <v>0</v>
      </c>
      <c r="E35" s="21">
        <f>E36</f>
        <v>4137840</v>
      </c>
      <c r="F35" s="21">
        <f t="shared" ref="F35" si="0">F36</f>
        <v>7359784.3899999997</v>
      </c>
    </row>
    <row r="36" spans="1:6" x14ac:dyDescent="0.15">
      <c r="A36" s="11"/>
      <c r="B36" s="17" t="s">
        <v>32</v>
      </c>
      <c r="C36" s="18"/>
      <c r="D36" s="18"/>
      <c r="E36" s="18">
        <v>4137840</v>
      </c>
      <c r="F36" s="18">
        <v>7359784.3899999997</v>
      </c>
    </row>
    <row r="37" spans="1:6" x14ac:dyDescent="0.15">
      <c r="A37" s="17"/>
      <c r="B37" s="16"/>
      <c r="C37" s="14"/>
      <c r="D37" s="14"/>
      <c r="E37" s="19"/>
      <c r="F37" s="19"/>
    </row>
    <row r="38" spans="1:6" x14ac:dyDescent="0.15">
      <c r="A38" s="11">
        <v>8</v>
      </c>
      <c r="B38" s="16" t="s">
        <v>33</v>
      </c>
      <c r="C38" s="21">
        <f>SUM(C39:C41)</f>
        <v>32522850.760000002</v>
      </c>
      <c r="D38" s="21">
        <f>SUM(D39:D41)</f>
        <v>62176965.420000002</v>
      </c>
      <c r="E38" s="21">
        <f t="shared" ref="E38:F38" si="1">SUM(E39:E41)</f>
        <v>369137079.11000001</v>
      </c>
      <c r="F38" s="21">
        <f t="shared" si="1"/>
        <v>730288606.08999991</v>
      </c>
    </row>
    <row r="39" spans="1:6" x14ac:dyDescent="0.15">
      <c r="A39" s="12"/>
      <c r="B39" s="17" t="s">
        <v>34</v>
      </c>
      <c r="C39" s="18">
        <v>32522516.690000001</v>
      </c>
      <c r="D39" s="18">
        <v>62176033</v>
      </c>
      <c r="E39" s="19">
        <f>C39+336603240.1</f>
        <v>369125756.79000002</v>
      </c>
      <c r="F39" s="19">
        <f>D39+668060021.54</f>
        <v>730236054.53999996</v>
      </c>
    </row>
    <row r="40" spans="1:6" x14ac:dyDescent="0.15">
      <c r="A40" s="12"/>
      <c r="B40" s="17" t="s">
        <v>35</v>
      </c>
      <c r="C40" s="18">
        <v>334.07</v>
      </c>
      <c r="D40" s="18">
        <v>932.42</v>
      </c>
      <c r="E40" s="19">
        <f>C40+10988.25</f>
        <v>11322.32</v>
      </c>
      <c r="F40" s="19">
        <f>D40+51619.13</f>
        <v>52551.549999999996</v>
      </c>
    </row>
    <row r="41" spans="1:6" x14ac:dyDescent="0.15">
      <c r="A41" s="17"/>
      <c r="B41" s="24" t="s">
        <v>36</v>
      </c>
      <c r="C41" s="14">
        <v>0</v>
      </c>
      <c r="D41" s="14">
        <v>0</v>
      </c>
      <c r="E41" s="19">
        <v>0</v>
      </c>
      <c r="F41" s="19">
        <v>0</v>
      </c>
    </row>
    <row r="42" spans="1:6" x14ac:dyDescent="0.15">
      <c r="A42" s="17"/>
      <c r="B42" s="16"/>
      <c r="C42" s="14"/>
      <c r="D42" s="14"/>
      <c r="E42" s="19"/>
      <c r="F42" s="19"/>
    </row>
    <row r="43" spans="1:6" x14ac:dyDescent="0.15">
      <c r="A43" s="11">
        <v>9</v>
      </c>
      <c r="B43" s="16" t="s">
        <v>37</v>
      </c>
      <c r="C43" s="21">
        <f>C44</f>
        <v>1398060</v>
      </c>
      <c r="D43" s="21">
        <f>D44</f>
        <v>2683994.02</v>
      </c>
      <c r="E43" s="21">
        <f>E44</f>
        <v>13505664</v>
      </c>
      <c r="F43" s="21">
        <f t="shared" ref="F43" si="2">F44</f>
        <v>27967728.800000001</v>
      </c>
    </row>
    <row r="44" spans="1:6" x14ac:dyDescent="0.15">
      <c r="A44" s="12"/>
      <c r="B44" s="17" t="s">
        <v>38</v>
      </c>
      <c r="C44" s="18">
        <v>1398060</v>
      </c>
      <c r="D44" s="18">
        <v>2683994.02</v>
      </c>
      <c r="E44" s="19">
        <f>C44+12107604</f>
        <v>13505664</v>
      </c>
      <c r="F44" s="19">
        <f>D44+25283734.78</f>
        <v>27967728.800000001</v>
      </c>
    </row>
    <row r="45" spans="1:6" x14ac:dyDescent="0.15">
      <c r="A45" s="17"/>
      <c r="B45" s="16"/>
      <c r="C45" s="14"/>
      <c r="D45" s="14"/>
      <c r="E45" s="19"/>
      <c r="F45" s="19"/>
    </row>
    <row r="46" spans="1:6" x14ac:dyDescent="0.15">
      <c r="A46" s="11">
        <v>10</v>
      </c>
      <c r="B46" s="16" t="s">
        <v>39</v>
      </c>
      <c r="C46" s="21">
        <f>SUM(C47:C49)</f>
        <v>11052324</v>
      </c>
      <c r="D46" s="21">
        <f>SUM(D47:D49)</f>
        <v>20389692.75</v>
      </c>
      <c r="E46" s="21">
        <f>SUM(E47:E49)</f>
        <v>139704072.5</v>
      </c>
      <c r="F46" s="21">
        <f>SUM(F47:F49)</f>
        <v>269248003.39999998</v>
      </c>
    </row>
    <row r="47" spans="1:6" x14ac:dyDescent="0.15">
      <c r="A47" s="12"/>
      <c r="B47" s="17" t="s">
        <v>40</v>
      </c>
      <c r="C47" s="18">
        <v>11052324</v>
      </c>
      <c r="D47" s="18">
        <v>20389692.75</v>
      </c>
      <c r="E47" s="19">
        <f>C47+128651748.5</f>
        <v>139704072.5</v>
      </c>
      <c r="F47" s="19">
        <f>D47+248858310.65</f>
        <v>269248003.39999998</v>
      </c>
    </row>
    <row r="48" spans="1:6" x14ac:dyDescent="0.15">
      <c r="A48" s="12"/>
      <c r="B48" s="17" t="s">
        <v>41</v>
      </c>
      <c r="C48" s="18">
        <v>0</v>
      </c>
      <c r="D48" s="18">
        <v>0</v>
      </c>
      <c r="E48" s="19">
        <v>0</v>
      </c>
      <c r="F48" s="19">
        <v>0</v>
      </c>
    </row>
    <row r="49" spans="1:6" x14ac:dyDescent="0.15">
      <c r="A49" s="12"/>
      <c r="B49" s="17" t="s">
        <v>42</v>
      </c>
      <c r="C49" s="18">
        <v>0</v>
      </c>
      <c r="D49" s="18">
        <v>0</v>
      </c>
      <c r="E49" s="19">
        <v>0</v>
      </c>
      <c r="F49" s="19">
        <v>0</v>
      </c>
    </row>
    <row r="50" spans="1:6" x14ac:dyDescent="0.15">
      <c r="A50" s="17"/>
      <c r="B50" s="16"/>
      <c r="C50" s="14"/>
      <c r="D50" s="14"/>
      <c r="E50" s="19"/>
      <c r="F50" s="19"/>
    </row>
    <row r="51" spans="1:6" x14ac:dyDescent="0.15">
      <c r="A51" s="11">
        <v>11</v>
      </c>
      <c r="B51" s="16" t="s">
        <v>43</v>
      </c>
      <c r="C51" s="25">
        <f>C52</f>
        <v>0.09</v>
      </c>
      <c r="D51" s="21">
        <f>D52</f>
        <v>79.959999999999994</v>
      </c>
      <c r="E51" s="25">
        <f>E52</f>
        <v>0.33999999999999997</v>
      </c>
      <c r="F51" s="21">
        <f t="shared" ref="F51" si="3">F52</f>
        <v>288.83</v>
      </c>
    </row>
    <row r="52" spans="1:6" x14ac:dyDescent="0.15">
      <c r="A52" s="17"/>
      <c r="B52" s="17" t="s">
        <v>44</v>
      </c>
      <c r="C52" s="26">
        <v>0.09</v>
      </c>
      <c r="D52" s="18">
        <v>79.959999999999994</v>
      </c>
      <c r="E52" s="27">
        <f>C52+0.25</f>
        <v>0.33999999999999997</v>
      </c>
      <c r="F52" s="19">
        <f>D52+208.87</f>
        <v>288.83</v>
      </c>
    </row>
    <row r="53" spans="1:6" x14ac:dyDescent="0.15">
      <c r="A53" s="17"/>
      <c r="B53" s="16"/>
      <c r="C53" s="14"/>
      <c r="D53" s="14"/>
      <c r="E53" s="19"/>
      <c r="F53" s="19"/>
    </row>
    <row r="54" spans="1:6" x14ac:dyDescent="0.15">
      <c r="A54" s="11">
        <v>12</v>
      </c>
      <c r="B54" s="16" t="s">
        <v>45</v>
      </c>
      <c r="C54" s="21">
        <f>C55</f>
        <v>0</v>
      </c>
      <c r="D54" s="21">
        <f>D55</f>
        <v>0</v>
      </c>
      <c r="E54" s="21">
        <f t="shared" ref="E54:F54" si="4">E55</f>
        <v>149731</v>
      </c>
      <c r="F54" s="21">
        <f t="shared" si="4"/>
        <v>260901.25</v>
      </c>
    </row>
    <row r="55" spans="1:6" x14ac:dyDescent="0.15">
      <c r="A55" s="17"/>
      <c r="B55" s="20" t="s">
        <v>46</v>
      </c>
      <c r="C55" s="14"/>
      <c r="D55" s="18"/>
      <c r="E55" s="19">
        <v>149731</v>
      </c>
      <c r="F55" s="19">
        <v>260901.25</v>
      </c>
    </row>
    <row r="56" spans="1:6" x14ac:dyDescent="0.15">
      <c r="A56" s="17"/>
      <c r="B56" s="16"/>
      <c r="C56" s="14"/>
      <c r="D56" s="14"/>
      <c r="E56" s="19"/>
      <c r="F56" s="19"/>
    </row>
    <row r="57" spans="1:6" x14ac:dyDescent="0.15">
      <c r="A57" s="11">
        <v>13</v>
      </c>
      <c r="B57" s="16" t="s">
        <v>47</v>
      </c>
      <c r="C57" s="21">
        <f>SUM(C58:C59)</f>
        <v>4008060</v>
      </c>
      <c r="D57" s="21">
        <f>SUM(D58:D59)</f>
        <v>7145347.7999999998</v>
      </c>
      <c r="E57" s="21">
        <f>SUM(E58:E59)</f>
        <v>52378200</v>
      </c>
      <c r="F57" s="21">
        <f>SUM(F58:F59)</f>
        <v>99221915.230000004</v>
      </c>
    </row>
    <row r="58" spans="1:6" x14ac:dyDescent="0.15">
      <c r="A58" s="12"/>
      <c r="B58" s="17" t="s">
        <v>48</v>
      </c>
      <c r="C58" s="18">
        <v>4008060</v>
      </c>
      <c r="D58" s="18">
        <v>7145347.7999999998</v>
      </c>
      <c r="E58" s="19">
        <f>C58+48370140</f>
        <v>52378200</v>
      </c>
      <c r="F58" s="19">
        <f>D58+92076567.43</f>
        <v>99221915.230000004</v>
      </c>
    </row>
    <row r="59" spans="1:6" x14ac:dyDescent="0.15">
      <c r="A59" s="12"/>
      <c r="B59" s="20" t="s">
        <v>49</v>
      </c>
      <c r="C59" s="14">
        <v>0</v>
      </c>
      <c r="D59" s="18">
        <v>0</v>
      </c>
      <c r="E59" s="19">
        <v>0</v>
      </c>
      <c r="F59" s="19">
        <v>0</v>
      </c>
    </row>
    <row r="60" spans="1:6" x14ac:dyDescent="0.15">
      <c r="A60" s="12"/>
      <c r="B60" s="16"/>
      <c r="C60" s="14"/>
      <c r="D60" s="14"/>
      <c r="E60" s="19"/>
      <c r="F60" s="19"/>
    </row>
    <row r="61" spans="1:6" x14ac:dyDescent="0.15">
      <c r="A61" s="11">
        <v>14</v>
      </c>
      <c r="B61" s="16" t="s">
        <v>50</v>
      </c>
      <c r="C61" s="21">
        <f>SUM(C62:C63)</f>
        <v>0</v>
      </c>
      <c r="D61" s="21">
        <f>SUM(D62:D63)</f>
        <v>0</v>
      </c>
      <c r="E61" s="21">
        <f t="shared" ref="E61:F61" si="5">SUM(E62:E63)</f>
        <v>125</v>
      </c>
      <c r="F61" s="21">
        <f t="shared" si="5"/>
        <v>386.90999999999997</v>
      </c>
    </row>
    <row r="62" spans="1:6" x14ac:dyDescent="0.15">
      <c r="A62" s="12"/>
      <c r="B62" s="20" t="s">
        <v>51</v>
      </c>
      <c r="C62" s="14">
        <v>0</v>
      </c>
      <c r="D62" s="14">
        <v>0</v>
      </c>
      <c r="E62" s="19">
        <v>116</v>
      </c>
      <c r="F62" s="19">
        <v>194.91</v>
      </c>
    </row>
    <row r="63" spans="1:6" x14ac:dyDescent="0.15">
      <c r="A63" s="12"/>
      <c r="B63" s="20" t="s">
        <v>52</v>
      </c>
      <c r="C63" s="14"/>
      <c r="D63" s="18"/>
      <c r="E63" s="19">
        <v>9</v>
      </c>
      <c r="F63" s="19">
        <v>192</v>
      </c>
    </row>
    <row r="64" spans="1:6" x14ac:dyDescent="0.15">
      <c r="A64" s="12"/>
      <c r="B64" s="22"/>
      <c r="C64" s="14"/>
      <c r="D64" s="14"/>
      <c r="E64" s="19"/>
      <c r="F64" s="19"/>
    </row>
    <row r="65" spans="1:7" x14ac:dyDescent="0.15">
      <c r="A65" s="11">
        <v>15</v>
      </c>
      <c r="B65" s="16" t="s">
        <v>53</v>
      </c>
      <c r="C65" s="21">
        <f>C66</f>
        <v>0</v>
      </c>
      <c r="D65" s="21">
        <f>D66</f>
        <v>0</v>
      </c>
      <c r="E65" s="21">
        <f t="shared" ref="E65:F65" si="6">E66</f>
        <v>0</v>
      </c>
      <c r="F65" s="21">
        <f t="shared" si="6"/>
        <v>0</v>
      </c>
    </row>
    <row r="66" spans="1:7" x14ac:dyDescent="0.15">
      <c r="A66" s="12"/>
      <c r="B66" s="23" t="s">
        <v>54</v>
      </c>
      <c r="C66" s="14">
        <v>0</v>
      </c>
      <c r="D66" s="14">
        <v>0</v>
      </c>
      <c r="E66" s="19">
        <v>0</v>
      </c>
      <c r="F66" s="19">
        <v>0</v>
      </c>
    </row>
    <row r="67" spans="1:7" x14ac:dyDescent="0.15">
      <c r="A67" s="12"/>
      <c r="B67" s="17"/>
      <c r="C67" s="14"/>
      <c r="D67" s="14"/>
      <c r="E67" s="19"/>
      <c r="F67" s="19"/>
    </row>
    <row r="68" spans="1:7" s="29" customFormat="1" x14ac:dyDescent="0.15">
      <c r="A68" s="11">
        <v>16</v>
      </c>
      <c r="B68" s="16" t="s">
        <v>55</v>
      </c>
      <c r="C68" s="21">
        <f>C69</f>
        <v>0</v>
      </c>
      <c r="D68" s="21">
        <f>D69</f>
        <v>0</v>
      </c>
      <c r="E68" s="21">
        <f t="shared" ref="E68:F68" si="7">E69</f>
        <v>3</v>
      </c>
      <c r="F68" s="21">
        <f t="shared" si="7"/>
        <v>132.75</v>
      </c>
      <c r="G68" s="28"/>
    </row>
    <row r="69" spans="1:7" x14ac:dyDescent="0.15">
      <c r="A69" s="12"/>
      <c r="B69" s="17" t="s">
        <v>56</v>
      </c>
      <c r="C69" s="14">
        <v>0</v>
      </c>
      <c r="D69" s="14">
        <v>0</v>
      </c>
      <c r="E69" s="19">
        <v>3</v>
      </c>
      <c r="F69" s="19">
        <v>132.75</v>
      </c>
    </row>
    <row r="70" spans="1:7" x14ac:dyDescent="0.15">
      <c r="A70" s="12"/>
      <c r="B70" s="17"/>
      <c r="C70" s="14"/>
      <c r="D70" s="14"/>
      <c r="E70" s="19"/>
      <c r="F70" s="19"/>
    </row>
    <row r="71" spans="1:7" x14ac:dyDescent="0.15">
      <c r="A71" s="30"/>
      <c r="B71" s="31" t="s">
        <v>57</v>
      </c>
      <c r="C71" s="32">
        <f>C6+C11+C14+C23+C26+C29+C35+C38+C43+C46+C51+C54+C57+C61+C65+C68</f>
        <v>124331967.65000001</v>
      </c>
      <c r="D71" s="32">
        <f>D6+D11+D14+D23+D26+D29+D35+D38+D43+D46+D51+D54+D57+D61+D65+D68</f>
        <v>228809402.5</v>
      </c>
      <c r="E71" s="32">
        <f>E6+E11+E14+E23+E26+E29+E35+E38+E43+E46+E51+E54+E57+E61+E65+E68</f>
        <v>1574368614.24</v>
      </c>
      <c r="F71" s="32">
        <f>F6+F11+F14+F23+F26+F29+F35+F38+F43+F46+F51+F54+F57+F61+F65+F68</f>
        <v>3026907462</v>
      </c>
    </row>
    <row r="72" spans="1:7" x14ac:dyDescent="0.15">
      <c r="A72" s="33" t="s">
        <v>58</v>
      </c>
    </row>
  </sheetData>
  <mergeCells count="6">
    <mergeCell ref="A1:F1"/>
    <mergeCell ref="A2:F2"/>
    <mergeCell ref="A3:A4"/>
    <mergeCell ref="B3:B4"/>
    <mergeCell ref="C3:D3"/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Dino Kuning</dc:creator>
  <cp:lastModifiedBy>Dino Kuning</cp:lastModifiedBy>
  <dcterms:created xsi:type="dcterms:W3CDTF">2026-02-10T09:11:21Z</dcterms:created>
  <dcterms:modified xsi:type="dcterms:W3CDTF">2026-02-10T09:11:45Z</dcterms:modified>
</cp:coreProperties>
</file>