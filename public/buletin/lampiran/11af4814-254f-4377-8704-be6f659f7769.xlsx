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no Kuning\Downloads\"/>
    </mc:Choice>
  </mc:AlternateContent>
  <xr:revisionPtr revIDLastSave="0" documentId="8_{E1A6247C-1CC0-4B3A-9AEB-4689737E3B2A}" xr6:coauthVersionLast="47" xr6:coauthVersionMax="47" xr10:uidLastSave="{00000000-0000-0000-0000-000000000000}"/>
  <bookViews>
    <workbookView xWindow="-120" yWindow="-120" windowWidth="20730" windowHeight="11160" activeTab="2" xr2:uid="{5F2981C1-60BD-4C85-9A90-6951CAE42556}"/>
  </bookViews>
  <sheets>
    <sheet name="Mutu." sheetId="14" r:id="rId1"/>
    <sheet name="Pelabuhan Muat." sheetId="18" r:id="rId2"/>
    <sheet name="Negara Tujuan." sheetId="17" r:id="rId3"/>
    <sheet name="TSR20" sheetId="12" r:id="rId4"/>
    <sheet name="RSS3 " sheetId="13" r:id="rId5"/>
    <sheet name="Sheet1" sheetId="19" r:id="rId6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3" i="18" l="1"/>
  <c r="E53" i="18"/>
  <c r="F41" i="18"/>
  <c r="E41" i="18"/>
  <c r="F10" i="18"/>
  <c r="E10" i="18"/>
  <c r="E6" i="18"/>
  <c r="F6" i="18"/>
  <c r="D6" i="18"/>
  <c r="C6" i="18"/>
  <c r="F67" i="18"/>
  <c r="E67" i="18"/>
  <c r="F37" i="18"/>
  <c r="E37" i="18"/>
  <c r="F45" i="18"/>
  <c r="E45" i="18"/>
  <c r="F9" i="18"/>
  <c r="E9" i="18"/>
  <c r="F59" i="18"/>
  <c r="E59" i="18"/>
  <c r="F28" i="18"/>
  <c r="E28" i="18"/>
  <c r="F48" i="18"/>
  <c r="E48" i="18"/>
  <c r="F7" i="18"/>
  <c r="E7" i="18"/>
  <c r="F40" i="18"/>
  <c r="E40" i="18"/>
  <c r="F31" i="18"/>
  <c r="E31" i="18"/>
  <c r="F18" i="17"/>
  <c r="E18" i="17"/>
  <c r="F37" i="17"/>
  <c r="E37" i="17"/>
  <c r="F12" i="17"/>
  <c r="E12" i="17"/>
  <c r="F30" i="17"/>
  <c r="E30" i="17"/>
  <c r="F42" i="17"/>
  <c r="E42" i="17"/>
  <c r="F15" i="17"/>
  <c r="E15" i="17"/>
  <c r="F77" i="17"/>
  <c r="E77" i="17"/>
  <c r="E13" i="17"/>
  <c r="F13" i="17"/>
  <c r="F50" i="17"/>
  <c r="E50" i="17"/>
  <c r="F19" i="17"/>
  <c r="E19" i="17"/>
  <c r="F52" i="17"/>
  <c r="E52" i="17"/>
  <c r="F70" i="17"/>
  <c r="E70" i="17"/>
  <c r="F35" i="17"/>
  <c r="E35" i="17"/>
  <c r="F53" i="17"/>
  <c r="E53" i="17"/>
  <c r="E73" i="17"/>
  <c r="F73" i="17"/>
  <c r="F65" i="17"/>
  <c r="E65" i="17"/>
  <c r="E74" i="17"/>
  <c r="F74" i="17"/>
  <c r="F49" i="17"/>
  <c r="E49" i="17"/>
  <c r="F64" i="17"/>
  <c r="E64" i="17"/>
  <c r="F71" i="17"/>
  <c r="E71" i="17"/>
  <c r="F20" i="17"/>
  <c r="E20" i="17"/>
  <c r="F33" i="17"/>
  <c r="E33" i="17"/>
  <c r="F66" i="17"/>
  <c r="E66" i="17"/>
  <c r="E25" i="17"/>
  <c r="F25" i="17"/>
  <c r="F68" i="17"/>
  <c r="E68" i="17"/>
  <c r="F45" i="17"/>
  <c r="E45" i="17"/>
  <c r="F69" i="17"/>
  <c r="E69" i="17"/>
  <c r="F62" i="17"/>
  <c r="E62" i="17"/>
  <c r="F56" i="17"/>
  <c r="E56" i="17"/>
  <c r="F63" i="17"/>
  <c r="E63" i="17"/>
  <c r="F41" i="17"/>
  <c r="E41" i="17"/>
  <c r="F9" i="17"/>
  <c r="E9" i="17"/>
  <c r="F23" i="17"/>
  <c r="E23" i="17"/>
  <c r="F43" i="17"/>
  <c r="E43" i="17"/>
  <c r="F8" i="17"/>
  <c r="E8" i="17"/>
  <c r="F46" i="17"/>
  <c r="E46" i="17"/>
  <c r="F59" i="17"/>
  <c r="E59" i="17"/>
  <c r="F14" i="17"/>
  <c r="E14" i="17"/>
  <c r="F16" i="17"/>
  <c r="E16" i="17"/>
  <c r="F7" i="17"/>
  <c r="E7" i="17"/>
  <c r="F11" i="17"/>
  <c r="E11" i="17"/>
  <c r="F40" i="17"/>
  <c r="E40" i="17"/>
  <c r="F6" i="14"/>
  <c r="E6" i="14"/>
  <c r="F12" i="14"/>
  <c r="E12" i="14"/>
  <c r="F20" i="14"/>
  <c r="E20" i="14"/>
  <c r="F29" i="14"/>
  <c r="E29" i="14"/>
  <c r="F33" i="14"/>
  <c r="E33" i="14"/>
  <c r="F41" i="14"/>
  <c r="E41" i="14"/>
  <c r="F37" i="14"/>
  <c r="F39" i="14"/>
  <c r="F38" i="14"/>
  <c r="F36" i="14"/>
  <c r="F35" i="14"/>
  <c r="F34" i="14"/>
  <c r="E38" i="14"/>
  <c r="E36" i="14"/>
  <c r="E35" i="14"/>
  <c r="E34" i="14"/>
  <c r="E30" i="14"/>
  <c r="E31" i="14"/>
  <c r="F31" i="14"/>
  <c r="F30" i="14"/>
  <c r="F23" i="14"/>
  <c r="F24" i="14"/>
  <c r="E24" i="14"/>
  <c r="F22" i="14"/>
  <c r="F21" i="14"/>
  <c r="E23" i="14"/>
  <c r="E22" i="14"/>
  <c r="E21" i="14"/>
  <c r="E13" i="14"/>
  <c r="F13" i="14"/>
  <c r="C27" i="13"/>
  <c r="C28" i="13"/>
  <c r="N28" i="13"/>
  <c r="M28" i="13"/>
  <c r="L28" i="13"/>
  <c r="K28" i="13"/>
  <c r="J28" i="13"/>
  <c r="I28" i="13"/>
  <c r="H28" i="13"/>
  <c r="G28" i="13"/>
  <c r="F28" i="13"/>
  <c r="E28" i="13"/>
  <c r="D28" i="13"/>
  <c r="N27" i="13"/>
  <c r="M27" i="13"/>
  <c r="L27" i="13"/>
  <c r="K27" i="13"/>
  <c r="J27" i="13"/>
  <c r="I27" i="13"/>
  <c r="H27" i="13"/>
  <c r="G27" i="13"/>
  <c r="F27" i="13"/>
  <c r="E27" i="13"/>
  <c r="D27" i="13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8" i="17"/>
  <c r="F43" i="14" l="1"/>
  <c r="E43" i="14"/>
  <c r="C27" i="12"/>
  <c r="C28" i="12"/>
  <c r="F79" i="17"/>
  <c r="D79" i="17"/>
  <c r="E79" i="17" l="1"/>
  <c r="C33" i="14"/>
  <c r="D20" i="14"/>
  <c r="C20" i="14"/>
  <c r="N28" i="12"/>
  <c r="M28" i="12"/>
  <c r="L28" i="12"/>
  <c r="K28" i="12"/>
  <c r="J28" i="12"/>
  <c r="I28" i="12"/>
  <c r="H28" i="12"/>
  <c r="G28" i="12"/>
  <c r="F28" i="12"/>
  <c r="E28" i="12"/>
  <c r="D28" i="12"/>
  <c r="N27" i="12"/>
  <c r="M27" i="12"/>
  <c r="L27" i="12"/>
  <c r="K27" i="12"/>
  <c r="J27" i="12"/>
  <c r="I27" i="12"/>
  <c r="H27" i="12"/>
  <c r="G27" i="12"/>
  <c r="F27" i="12"/>
  <c r="E27" i="12"/>
  <c r="D27" i="12"/>
  <c r="E44" i="18" l="1"/>
  <c r="F58" i="18" l="1"/>
  <c r="F69" i="18"/>
  <c r="D33" i="14"/>
  <c r="F15" i="18"/>
  <c r="C6" i="14"/>
  <c r="D6" i="14"/>
  <c r="C58" i="18" l="1"/>
  <c r="E52" i="18"/>
  <c r="F47" i="18"/>
  <c r="E47" i="18"/>
  <c r="C47" i="18"/>
  <c r="E58" i="18"/>
  <c r="E12" i="18"/>
  <c r="E15" i="18" l="1"/>
  <c r="D29" i="14" l="1"/>
  <c r="C29" i="14"/>
  <c r="E69" i="18" l="1"/>
  <c r="F66" i="18"/>
  <c r="E66" i="18"/>
  <c r="F62" i="18"/>
  <c r="E62" i="18"/>
  <c r="D62" i="18"/>
  <c r="C62" i="18"/>
  <c r="D58" i="18"/>
  <c r="F55" i="18"/>
  <c r="E55" i="18"/>
  <c r="C52" i="18"/>
  <c r="D44" i="18"/>
  <c r="C44" i="18"/>
  <c r="F44" i="18"/>
  <c r="C39" i="18"/>
  <c r="F39" i="18"/>
  <c r="E39" i="18"/>
  <c r="E36" i="18"/>
  <c r="F36" i="18"/>
  <c r="D36" i="18"/>
  <c r="C36" i="18"/>
  <c r="D30" i="18"/>
  <c r="C30" i="18"/>
  <c r="F30" i="18"/>
  <c r="E30" i="18"/>
  <c r="E27" i="18"/>
  <c r="F27" i="18"/>
  <c r="D27" i="18"/>
  <c r="C27" i="18"/>
  <c r="F24" i="18"/>
  <c r="E24" i="18"/>
  <c r="D24" i="18"/>
  <c r="C24" i="18"/>
  <c r="C15" i="18"/>
  <c r="C12" i="18"/>
  <c r="F12" i="18"/>
  <c r="E72" i="18" l="1"/>
  <c r="C79" i="17"/>
  <c r="D69" i="18" l="1"/>
  <c r="C69" i="18"/>
  <c r="D66" i="18"/>
  <c r="C66" i="18"/>
  <c r="C72" i="18" s="1"/>
  <c r="D55" i="18"/>
  <c r="C55" i="18"/>
  <c r="F52" i="18"/>
  <c r="F72" i="18" s="1"/>
  <c r="D52" i="18"/>
  <c r="D47" i="18"/>
  <c r="D39" i="18"/>
  <c r="D15" i="18"/>
  <c r="D12" i="18"/>
  <c r="D12" i="14"/>
  <c r="D43" i="14" s="1"/>
  <c r="C12" i="14"/>
  <c r="C43" i="14" s="1"/>
  <c r="D72" i="18" l="1"/>
</calcChain>
</file>

<file path=xl/sharedStrings.xml><?xml version="1.0" encoding="utf-8"?>
<sst xmlns="http://schemas.openxmlformats.org/spreadsheetml/2006/main" count="227" uniqueCount="195">
  <si>
    <t>KONTRAK</t>
  </si>
  <si>
    <t>BLN/TGL</t>
  </si>
  <si>
    <t>SUM</t>
  </si>
  <si>
    <t>AVG</t>
  </si>
  <si>
    <t>TSR 20 RUBBER FUTURES (US$ SENT /KG)</t>
  </si>
  <si>
    <t>EKSPOR KARET ALAM INDONESIA MENURUT JENIS MUTU</t>
  </si>
  <si>
    <t>HS CODE</t>
  </si>
  <si>
    <t>JENIS MUTU</t>
  </si>
  <si>
    <t xml:space="preserve"> VOLUME (KG) </t>
  </si>
  <si>
    <t xml:space="preserve"> NILAI (US$) </t>
  </si>
  <si>
    <t xml:space="preserve">   </t>
  </si>
  <si>
    <t>LATEKS</t>
  </si>
  <si>
    <t>Centrifuged concentrate natural rubber latex, exceeding 0.5% by volume of ammonia content</t>
  </si>
  <si>
    <t>Non-centrifuged concentrate natural rubber latex, exceeding 0.5% by volume of ammonia content</t>
  </si>
  <si>
    <t>Centrifuged concentrate rubber latex, not exceeding 0.5 % by volume of ammonia content</t>
  </si>
  <si>
    <t>Centrifuged concentrate oth than rubber latex, not exceeding 0.5 % by volume of ammonia content</t>
  </si>
  <si>
    <t>RSS</t>
  </si>
  <si>
    <t>RSS Grade 1</t>
  </si>
  <si>
    <t>RSS Grade 2</t>
  </si>
  <si>
    <t>RSS Grade 3</t>
  </si>
  <si>
    <t>RSS Grade 4</t>
  </si>
  <si>
    <t>RSS Grade 5</t>
  </si>
  <si>
    <t>Other than RSS Grade 1 to 5</t>
  </si>
  <si>
    <t>SIR</t>
  </si>
  <si>
    <t>Technically specified natural rubber (TSNR) 10</t>
  </si>
  <si>
    <t>Technically specified natural rubber (TSNR) 20</t>
  </si>
  <si>
    <t>Technically specified natural rubber (TSNR) L</t>
  </si>
  <si>
    <t>Technically specified natural rubber (TSNR) CV</t>
  </si>
  <si>
    <t>Technically specified natural rubber (TSNR) GP</t>
  </si>
  <si>
    <t>Technically specified natural rubber (TSNR) 5</t>
  </si>
  <si>
    <t xml:space="preserve">Mixture of natural rubber </t>
  </si>
  <si>
    <t>Mixture of natural rubber latex with syntetic rubber latex</t>
  </si>
  <si>
    <t>Mixtures of product of 40.01 with product of 40.02 other than mixture of natural rubber latex with syntetic rubber latex</t>
  </si>
  <si>
    <t xml:space="preserve">Compounded of natural </t>
  </si>
  <si>
    <t>Compounded of natural gums with carbon black or silica, unvulcanised, in primary forms or in plates, sheets or strip</t>
  </si>
  <si>
    <t>Compounded rubber, oth than natural gums with carbon black/silica, unvulcanised, in primary forms/in plates,sheets/strip</t>
  </si>
  <si>
    <t>Compounded rubber of natural gums, other than 400510 and 400520, unvulcanised, in plates, sheets amd strips</t>
  </si>
  <si>
    <t>Compounded rubber other than of natural gums, other than 4005.10 and 4005.20, unvulcanised, in plates, sheets amd strip</t>
  </si>
  <si>
    <t>Natural rubber compounded with substances other than carbon or silica, unvulcanised, in primary forms</t>
  </si>
  <si>
    <t xml:space="preserve">Compounded rubber,nec in sub heading 4005.10 &amp; nec in sub heading 4005.20, in primary forms, nec in sub heading 4005.99 </t>
  </si>
  <si>
    <t>JUMLAH</t>
  </si>
  <si>
    <t xml:space="preserve">EKSPOR KARET ALAM INDONESIA MENURUT PELABUHAN MUAT </t>
  </si>
  <si>
    <t>NO</t>
  </si>
  <si>
    <t>PELABUHAN MUAT</t>
  </si>
  <si>
    <t xml:space="preserve"> Volume (Kg) </t>
  </si>
  <si>
    <t>SUMATERA UTARA</t>
  </si>
  <si>
    <t>BELAWAN</t>
  </si>
  <si>
    <t>KUALA NAMU INTERNATIONAL (U)</t>
  </si>
  <si>
    <t>SUMATERA BARAT</t>
  </si>
  <si>
    <t>PADANG/TL.BAYUR</t>
  </si>
  <si>
    <t>R I A U</t>
  </si>
  <si>
    <t>KIJANG</t>
  </si>
  <si>
    <t>SEKUPANG</t>
  </si>
  <si>
    <t>BATU AMPAR</t>
  </si>
  <si>
    <t>TANJUNG BALAI KARIMUN</t>
  </si>
  <si>
    <t>TANJUNG PINANG</t>
  </si>
  <si>
    <t>KABIL/PANAU</t>
  </si>
  <si>
    <t>PEKAN BARU</t>
  </si>
  <si>
    <t>KEPULAUAN BANGKA BELITUNG</t>
  </si>
  <si>
    <t>PANGKAL BALAM</t>
  </si>
  <si>
    <t>J A M B I</t>
  </si>
  <si>
    <t>JAMBI</t>
  </si>
  <si>
    <t>SUMATRA SELATAN</t>
  </si>
  <si>
    <t>MUSI RIVER/BOOM BARU</t>
  </si>
  <si>
    <t>PALEMBANG-KERTAPATI</t>
  </si>
  <si>
    <t>SM. BADARUDDIN (U)</t>
  </si>
  <si>
    <t>LAMPUNG</t>
  </si>
  <si>
    <t>PANJANG</t>
  </si>
  <si>
    <t>DKI/JAWA BARAT</t>
  </si>
  <si>
    <t>TANJUNG PRIOK</t>
  </si>
  <si>
    <t>SOEKARNO-HATTA (U)</t>
  </si>
  <si>
    <t>PAMANUKAN, JAVA</t>
  </si>
  <si>
    <t>JAWA TENGAH</t>
  </si>
  <si>
    <t>TANJUNG EMAS</t>
  </si>
  <si>
    <t>JAWA TIMUR</t>
  </si>
  <si>
    <t>TANJUNG PERAK</t>
  </si>
  <si>
    <t>JUANDA (U)-SURABAYA</t>
  </si>
  <si>
    <t>BALI</t>
  </si>
  <si>
    <t>KALIMANTAN SELATAN</t>
  </si>
  <si>
    <t>BANJARMASIN</t>
  </si>
  <si>
    <t>KALIMANTAN BARAT</t>
  </si>
  <si>
    <t>PONTIANAK</t>
  </si>
  <si>
    <t>SINGKAWANG</t>
  </si>
  <si>
    <t>NUSA TENGGARA TIMUR</t>
  </si>
  <si>
    <t>ATAPUPU</t>
  </si>
  <si>
    <t>ATAMBUA (U)</t>
  </si>
  <si>
    <t>SULAWESI SELATAN</t>
  </si>
  <si>
    <t>MAKASSAR</t>
  </si>
  <si>
    <t>TOTAL</t>
  </si>
  <si>
    <t>EKSPOR KARET ALAM INDONESIA MENURUT NEGARA TUJUAN</t>
  </si>
  <si>
    <t>NEGARA TUJUAN</t>
  </si>
  <si>
    <t>JAPAN</t>
  </si>
  <si>
    <t>KOREA, REPUBLIC OF</t>
  </si>
  <si>
    <t>TAIWAN</t>
  </si>
  <si>
    <t>CHINA</t>
  </si>
  <si>
    <t>SINGAPORE</t>
  </si>
  <si>
    <t>PHILIPPINES</t>
  </si>
  <si>
    <t>INDIA</t>
  </si>
  <si>
    <t>PAKISTAN</t>
  </si>
  <si>
    <t>THAILAND</t>
  </si>
  <si>
    <t>MALAYSIA</t>
  </si>
  <si>
    <t>SRI LANKA</t>
  </si>
  <si>
    <t>TURKEY</t>
  </si>
  <si>
    <t>EGYPT</t>
  </si>
  <si>
    <t>UNITED ARAB EMIRATES</t>
  </si>
  <si>
    <t>SAUDI ARABIA</t>
  </si>
  <si>
    <t>IRAQ</t>
  </si>
  <si>
    <t>KENYA</t>
  </si>
  <si>
    <t>ALGERIA</t>
  </si>
  <si>
    <t>TANZANIA, UNITED REP. OF</t>
  </si>
  <si>
    <t>SOUTH AFRICA</t>
  </si>
  <si>
    <t xml:space="preserve">AUSTRALIA </t>
  </si>
  <si>
    <t>EAST TIMOR</t>
  </si>
  <si>
    <t>FIJI</t>
  </si>
  <si>
    <t xml:space="preserve">UNITED STATES </t>
  </si>
  <si>
    <t xml:space="preserve">CANADA </t>
  </si>
  <si>
    <t xml:space="preserve">MEXICO </t>
  </si>
  <si>
    <t>CHILE</t>
  </si>
  <si>
    <t xml:space="preserve">ARGENTINA </t>
  </si>
  <si>
    <t xml:space="preserve">BRAZIL </t>
  </si>
  <si>
    <t>GREECE</t>
  </si>
  <si>
    <t>HUNGARY</t>
  </si>
  <si>
    <t>PERU</t>
  </si>
  <si>
    <t xml:space="preserve">COLOMBIA </t>
  </si>
  <si>
    <t>ECUADOR</t>
  </si>
  <si>
    <t xml:space="preserve">UNITED KINGDOM </t>
  </si>
  <si>
    <t xml:space="preserve">NETHERLANDS </t>
  </si>
  <si>
    <t>SURINAME</t>
  </si>
  <si>
    <t xml:space="preserve">FRANCE </t>
  </si>
  <si>
    <t>NEW CALEDONIA</t>
  </si>
  <si>
    <t xml:space="preserve">GERMANY  FED. REP. OF </t>
  </si>
  <si>
    <t xml:space="preserve">BELGIUM </t>
  </si>
  <si>
    <t xml:space="preserve">LUXEMBOURG </t>
  </si>
  <si>
    <t xml:space="preserve">ITALY </t>
  </si>
  <si>
    <t xml:space="preserve">SPAIN </t>
  </si>
  <si>
    <t>PORTUGAL</t>
  </si>
  <si>
    <t xml:space="preserve">FINLAND </t>
  </si>
  <si>
    <t xml:space="preserve">POLAND </t>
  </si>
  <si>
    <t>SLOVAKIA</t>
  </si>
  <si>
    <t>SLOVENIA</t>
  </si>
  <si>
    <t xml:space="preserve">ROMANIA </t>
  </si>
  <si>
    <t>BULGARIA</t>
  </si>
  <si>
    <t>LATVIA</t>
  </si>
  <si>
    <t>LITHUANIA</t>
  </si>
  <si>
    <t>SERBIA</t>
  </si>
  <si>
    <t>CROATIA</t>
  </si>
  <si>
    <t>CZECH REPUBLIC</t>
  </si>
  <si>
    <t>RUSSIA FEDERATION</t>
  </si>
  <si>
    <t>HONGKONG</t>
  </si>
  <si>
    <t xml:space="preserve">Total </t>
  </si>
  <si>
    <t>Technically specified natural rubber (TSNR) other than TSNR 10, 20, L,CV, GP and 5</t>
  </si>
  <si>
    <t>Compounded rubber, unvulcanised, solutions, dispersions other than those of subheading 400510</t>
  </si>
  <si>
    <t>Compounded rubber, lateks, unvulcanised, oth thn solutions &amp; uncompounded with carbon black or silica,in primary forms</t>
  </si>
  <si>
    <t>UGANDA</t>
  </si>
  <si>
    <t>PALEMBANG-PLAJU</t>
  </si>
  <si>
    <t xml:space="preserve"> Nilai (US$) </t>
  </si>
  <si>
    <t>DJANKAR</t>
  </si>
  <si>
    <t>NGURAH RAI(U)</t>
  </si>
  <si>
    <t>IRAN</t>
  </si>
  <si>
    <t>COOK ISLANDS</t>
  </si>
  <si>
    <t>COSTA RICA</t>
  </si>
  <si>
    <t>NEW ZEALAND</t>
  </si>
  <si>
    <t>OMAN</t>
  </si>
  <si>
    <t>BAHRAIN</t>
  </si>
  <si>
    <t>PAPUA NEW GUINEA</t>
  </si>
  <si>
    <t>ISRAEL</t>
  </si>
  <si>
    <t>PAPUA</t>
  </si>
  <si>
    <t>JAYAPURA</t>
  </si>
  <si>
    <t>26-Feb</t>
  </si>
  <si>
    <t>TANJUNG BERINGIN</t>
  </si>
  <si>
    <t>26-Mar</t>
  </si>
  <si>
    <t>SUMBER : BPS (diolah), 2025</t>
  </si>
  <si>
    <t>VIETNAM</t>
  </si>
  <si>
    <t>26-Apr</t>
  </si>
  <si>
    <t>MONTENEGRO</t>
  </si>
  <si>
    <t>26-Mei</t>
  </si>
  <si>
    <t>26-Jun</t>
  </si>
  <si>
    <t>26-Jul</t>
  </si>
  <si>
    <t>26-Aug</t>
  </si>
  <si>
    <t>26-Sep</t>
  </si>
  <si>
    <t>26-Okt</t>
  </si>
  <si>
    <t>CAMBODIA</t>
  </si>
  <si>
    <t>26-Nov</t>
  </si>
  <si>
    <t>26-Des</t>
  </si>
  <si>
    <t>BANGLADESH</t>
  </si>
  <si>
    <t>27-Jan</t>
  </si>
  <si>
    <t>SICOM TSR 20 PERIODE JANUARI 2026</t>
  </si>
  <si>
    <t>SICOM RSS3 PERIODE JANUARI 2026</t>
  </si>
  <si>
    <t>RSS RUBBER FUTURES (US$ SENT /KG)</t>
  </si>
  <si>
    <t>PERIODE :DESEMBER 2025</t>
  </si>
  <si>
    <t>DESEMBER 2025</t>
  </si>
  <si>
    <t>JANUARI - DESEMBER 2025</t>
  </si>
  <si>
    <t>PERIODE : DESEMBER 2025</t>
  </si>
  <si>
    <t xml:space="preserve"> JANUARI - DESEMBER  2025</t>
  </si>
  <si>
    <t>KUALA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</si>
</sst>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_(* #,##0.0_);_(* \(#,##0.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theme="1"/>
      <name val="Aptos"/>
      <family val="2"/>
    </font>
    <font>
      <b/>
      <sz val="10"/>
      <color rgb="FF231F2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8C9"/>
        <bgColor indexed="64"/>
      </patternFill>
    </fill>
    <fill>
      <patternFill patternType="solid">
        <fgColor rgb="FFA2D6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231F20"/>
      </right>
      <top/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31F20"/>
      </bottom>
      <diagonal/>
    </border>
    <border>
      <left style="medium">
        <color indexed="64"/>
      </left>
      <right/>
      <top/>
      <bottom style="medium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231F20"/>
      </left>
      <right/>
      <top style="medium">
        <color rgb="FF231F2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0">
    <xf numFmtId="0" fontId="0" fillId="0" borderId="0" xfId="0"/>
    <xf numFmtId="0" fontId="4" fillId="0" borderId="0" xfId="0" applyFont="1"/>
    <xf numFmtId="165" fontId="3" fillId="2" borderId="9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165" fontId="5" fillId="0" borderId="9" xfId="1" applyNumberFormat="1" applyFont="1" applyFill="1" applyBorder="1" applyAlignment="1">
      <alignment horizontal="right" vertical="center"/>
    </xf>
    <xf numFmtId="165" fontId="5" fillId="0" borderId="9" xfId="1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3" fillId="3" borderId="11" xfId="0" applyFont="1" applyFill="1" applyBorder="1" applyAlignment="1">
      <alignment vertical="center"/>
    </xf>
    <xf numFmtId="165" fontId="3" fillId="3" borderId="9" xfId="1" applyNumberFormat="1" applyFont="1" applyFill="1" applyBorder="1" applyAlignment="1">
      <alignment horizontal="right" vertical="center" wrapText="1" indent="1"/>
    </xf>
    <xf numFmtId="0" fontId="5" fillId="0" borderId="9" xfId="0" applyFont="1" applyBorder="1" applyAlignment="1">
      <alignment horizontal="right" vertical="center"/>
    </xf>
    <xf numFmtId="0" fontId="5" fillId="0" borderId="11" xfId="0" applyFont="1" applyBorder="1" applyAlignment="1">
      <alignment vertical="center"/>
    </xf>
    <xf numFmtId="165" fontId="5" fillId="0" borderId="9" xfId="1" applyNumberFormat="1" applyFont="1" applyFill="1" applyBorder="1" applyAlignment="1">
      <alignment horizontal="right" vertical="center" wrapText="1" indent="1"/>
    </xf>
    <xf numFmtId="165" fontId="5" fillId="0" borderId="9" xfId="1" applyNumberFormat="1" applyFont="1" applyFill="1" applyBorder="1" applyAlignment="1">
      <alignment horizontal="right" vertical="center" wrapText="1"/>
    </xf>
    <xf numFmtId="165" fontId="3" fillId="0" borderId="9" xfId="1" applyNumberFormat="1" applyFont="1" applyFill="1" applyBorder="1" applyAlignment="1">
      <alignment horizontal="right" vertical="center"/>
    </xf>
    <xf numFmtId="165" fontId="5" fillId="0" borderId="9" xfId="1" applyNumberFormat="1" applyFont="1" applyFill="1" applyBorder="1" applyAlignment="1">
      <alignment horizontal="right" vertical="center" indent="6"/>
    </xf>
    <xf numFmtId="165" fontId="5" fillId="0" borderId="9" xfId="1" applyNumberFormat="1" applyFont="1" applyFill="1" applyBorder="1" applyAlignment="1">
      <alignment horizontal="right" vertical="center" indent="3"/>
    </xf>
    <xf numFmtId="165" fontId="5" fillId="6" borderId="9" xfId="1" applyNumberFormat="1" applyFont="1" applyFill="1" applyBorder="1" applyAlignment="1">
      <alignment horizontal="right" vertical="center" wrapText="1" indent="1"/>
    </xf>
    <xf numFmtId="165" fontId="5" fillId="0" borderId="9" xfId="1" applyNumberFormat="1" applyFont="1" applyFill="1" applyBorder="1" applyAlignment="1">
      <alignment horizontal="right" vertical="center" wrapText="1" indent="2"/>
    </xf>
    <xf numFmtId="0" fontId="3" fillId="0" borderId="11" xfId="0" applyFont="1" applyBorder="1" applyAlignment="1">
      <alignment vertical="center"/>
    </xf>
    <xf numFmtId="165" fontId="5" fillId="0" borderId="9" xfId="1" applyNumberFormat="1" applyFont="1" applyFill="1" applyBorder="1" applyAlignment="1">
      <alignment horizontal="right" vertical="center" indent="2"/>
    </xf>
    <xf numFmtId="165" fontId="5" fillId="0" borderId="9" xfId="1" applyNumberFormat="1" applyFont="1" applyFill="1" applyBorder="1" applyAlignment="1">
      <alignment horizontal="right" vertical="center" indent="1"/>
    </xf>
    <xf numFmtId="165" fontId="3" fillId="3" borderId="9" xfId="1" applyNumberFormat="1" applyFont="1" applyFill="1" applyBorder="1" applyAlignment="1">
      <alignment horizontal="right" vertical="center" indent="1"/>
    </xf>
    <xf numFmtId="0" fontId="4" fillId="0" borderId="9" xfId="0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165" fontId="5" fillId="6" borderId="9" xfId="1" applyNumberFormat="1" applyFont="1" applyFill="1" applyBorder="1" applyAlignment="1">
      <alignment horizontal="right" vertical="center" indent="1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3" fillId="2" borderId="9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5" fontId="3" fillId="2" borderId="9" xfId="1" applyNumberFormat="1" applyFont="1" applyFill="1" applyBorder="1" applyAlignment="1">
      <alignment horizontal="right" vertical="center" indent="1"/>
    </xf>
    <xf numFmtId="4" fontId="5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165" fontId="4" fillId="0" borderId="0" xfId="1" applyNumberFormat="1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3" fillId="0" borderId="11" xfId="1" applyNumberFormat="1" applyFont="1" applyFill="1" applyBorder="1" applyAlignment="1">
      <alignment horizontal="right" wrapText="1"/>
    </xf>
    <xf numFmtId="165" fontId="4" fillId="0" borderId="9" xfId="1" applyNumberFormat="1" applyFont="1" applyFill="1" applyBorder="1" applyAlignment="1">
      <alignment horizontal="right" wrapText="1"/>
    </xf>
    <xf numFmtId="165" fontId="3" fillId="0" borderId="9" xfId="1" applyNumberFormat="1" applyFont="1" applyFill="1" applyBorder="1" applyAlignment="1">
      <alignment horizontal="right" wrapText="1"/>
    </xf>
    <xf numFmtId="0" fontId="3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wrapText="1"/>
    </xf>
    <xf numFmtId="165" fontId="5" fillId="0" borderId="9" xfId="1" applyNumberFormat="1" applyFont="1" applyFill="1" applyBorder="1" applyAlignment="1">
      <alignment horizontal="right" wrapText="1"/>
    </xf>
    <xf numFmtId="0" fontId="5" fillId="0" borderId="9" xfId="0" applyFont="1" applyBorder="1" applyAlignment="1">
      <alignment vertical="center" wrapText="1"/>
    </xf>
    <xf numFmtId="165" fontId="6" fillId="0" borderId="9" xfId="1" applyNumberFormat="1" applyFont="1" applyFill="1" applyBorder="1" applyAlignment="1">
      <alignment horizontal="right" wrapText="1"/>
    </xf>
    <xf numFmtId="0" fontId="3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3" fontId="6" fillId="0" borderId="9" xfId="1" applyFont="1" applyFill="1" applyBorder="1" applyAlignment="1">
      <alignment horizontal="right" wrapText="1"/>
    </xf>
    <xf numFmtId="43" fontId="4" fillId="0" borderId="9" xfId="0" applyNumberFormat="1" applyFont="1" applyBorder="1" applyAlignment="1">
      <alignment horizontal="right" wrapText="1"/>
    </xf>
    <xf numFmtId="43" fontId="5" fillId="0" borderId="9" xfId="1" applyFont="1" applyFill="1" applyBorder="1" applyAlignment="1">
      <alignment horizontal="right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2" borderId="9" xfId="0" applyFont="1" applyFill="1" applyBorder="1" applyAlignment="1">
      <alignment horizontal="center" vertical="center"/>
    </xf>
    <xf numFmtId="165" fontId="6" fillId="2" borderId="9" xfId="1" applyNumberFormat="1" applyFont="1" applyFill="1" applyBorder="1" applyAlignment="1">
      <alignment horizontal="right" wrapText="1"/>
    </xf>
    <xf numFmtId="164" fontId="3" fillId="2" borderId="9" xfId="1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left" vertical="center"/>
    </xf>
    <xf numFmtId="165" fontId="3" fillId="0" borderId="9" xfId="1" applyNumberFormat="1" applyFont="1" applyFill="1" applyBorder="1" applyAlignment="1">
      <alignment vertical="center"/>
    </xf>
    <xf numFmtId="164" fontId="3" fillId="0" borderId="9" xfId="1" applyNumberFormat="1" applyFont="1" applyFill="1" applyBorder="1" applyAlignment="1">
      <alignment vertical="center"/>
    </xf>
    <xf numFmtId="3" fontId="5" fillId="0" borderId="9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left" vertical="center"/>
    </xf>
    <xf numFmtId="43" fontId="5" fillId="0" borderId="9" xfId="1" applyFont="1" applyFill="1" applyBorder="1" applyAlignment="1">
      <alignment horizontal="right" vertical="center" wrapText="1"/>
    </xf>
    <xf numFmtId="164" fontId="5" fillId="0" borderId="11" xfId="0" applyNumberFormat="1" applyFont="1" applyBorder="1" applyAlignment="1">
      <alignment horizontal="left" vertical="center" wrapText="1"/>
    </xf>
    <xf numFmtId="164" fontId="4" fillId="0" borderId="11" xfId="0" applyNumberFormat="1" applyFont="1" applyBorder="1" applyAlignment="1">
      <alignment vertical="center" wrapText="1"/>
    </xf>
    <xf numFmtId="164" fontId="5" fillId="0" borderId="11" xfId="0" applyNumberFormat="1" applyFont="1" applyBorder="1" applyAlignment="1">
      <alignment vertical="center"/>
    </xf>
    <xf numFmtId="164" fontId="5" fillId="0" borderId="11" xfId="0" applyNumberFormat="1" applyFont="1" applyBorder="1" applyAlignment="1">
      <alignment vertical="center" wrapText="1"/>
    </xf>
    <xf numFmtId="164" fontId="5" fillId="0" borderId="0" xfId="0" applyNumberFormat="1" applyFont="1" applyAlignment="1">
      <alignment vertical="center"/>
    </xf>
    <xf numFmtId="166" fontId="5" fillId="0" borderId="13" xfId="1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left" vertical="center"/>
    </xf>
    <xf numFmtId="165" fontId="3" fillId="2" borderId="9" xfId="1" applyNumberFormat="1" applyFont="1" applyFill="1" applyBorder="1" applyAlignment="1">
      <alignment horizontal="right" vertical="center"/>
    </xf>
    <xf numFmtId="165" fontId="4" fillId="0" borderId="0" xfId="1" applyNumberFormat="1" applyFont="1" applyFill="1" applyAlignment="1"/>
    <xf numFmtId="0" fontId="7" fillId="5" borderId="2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6" fontId="5" fillId="0" borderId="15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" fontId="5" fillId="0" borderId="17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" fontId="7" fillId="5" borderId="18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166" fontId="5" fillId="0" borderId="9" xfId="1" applyNumberFormat="1" applyFont="1" applyFill="1" applyBorder="1" applyAlignment="1">
      <alignment horizontal="right" vertical="center" wrapText="1"/>
    </xf>
    <xf numFmtId="165" fontId="3" fillId="0" borderId="9" xfId="1" applyNumberFormat="1" applyFont="1" applyFill="1" applyBorder="1" applyAlignment="1">
      <alignment horizontal="center" vertical="center"/>
    </xf>
    <xf numFmtId="3" fontId="5" fillId="7" borderId="9" xfId="0" applyNumberFormat="1" applyFont="1" applyFill="1" applyBorder="1" applyAlignment="1">
      <alignment horizontal="center" vertical="center"/>
    </xf>
    <xf numFmtId="164" fontId="5" fillId="7" borderId="11" xfId="0" applyNumberFormat="1" applyFont="1" applyFill="1" applyBorder="1" applyAlignment="1">
      <alignment horizontal="left" vertical="center"/>
    </xf>
    <xf numFmtId="165" fontId="5" fillId="7" borderId="9" xfId="1" applyNumberFormat="1" applyFont="1" applyFill="1" applyBorder="1" applyAlignment="1">
      <alignment horizontal="right" vertical="center" wrapText="1"/>
    </xf>
    <xf numFmtId="0" fontId="4" fillId="7" borderId="0" xfId="0" applyFont="1" applyFill="1" applyAlignment="1">
      <alignment horizontal="center"/>
    </xf>
    <xf numFmtId="165" fontId="4" fillId="7" borderId="0" xfId="0" applyNumberFormat="1" applyFont="1" applyFill="1"/>
    <xf numFmtId="0" fontId="4" fillId="7" borderId="0" xfId="0" applyFont="1" applyFill="1"/>
    <xf numFmtId="164" fontId="5" fillId="7" borderId="11" xfId="0" applyNumberFormat="1" applyFont="1" applyFill="1" applyBorder="1" applyAlignment="1">
      <alignment vertical="center"/>
    </xf>
    <xf numFmtId="164" fontId="5" fillId="7" borderId="11" xfId="0" applyNumberFormat="1" applyFont="1" applyFill="1" applyBorder="1" applyAlignment="1">
      <alignment horizontal="left" vertical="center" wrapText="1"/>
    </xf>
    <xf numFmtId="164" fontId="5" fillId="7" borderId="11" xfId="0" applyNumberFormat="1" applyFont="1" applyFill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5" fontId="3" fillId="2" borderId="11" xfId="1" quotePrefix="1" applyNumberFormat="1" applyFont="1" applyFill="1" applyBorder="1" applyAlignment="1">
      <alignment horizontal="center" vertical="center"/>
    </xf>
    <xf numFmtId="165" fontId="3" fillId="2" borderId="13" xfId="1" quotePrefix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5" fontId="3" fillId="2" borderId="11" xfId="1" quotePrefix="1" applyNumberFormat="1" applyFont="1" applyFill="1" applyBorder="1" applyAlignment="1">
      <alignment horizontal="center" vertical="center" wrapText="1"/>
    </xf>
    <xf numFmtId="165" fontId="3" fillId="2" borderId="13" xfId="1" quotePrefix="1" applyNumberFormat="1" applyFont="1" applyFill="1" applyBorder="1" applyAlignment="1">
      <alignment horizontal="center" vertical="center" wrapText="1"/>
    </xf>
    <xf numFmtId="165" fontId="3" fillId="2" borderId="11" xfId="1" applyNumberFormat="1" applyFont="1" applyFill="1" applyBorder="1" applyAlignment="1">
      <alignment horizontal="center" vertical="center" wrapText="1"/>
    </xf>
    <xf numFmtId="165" fontId="3" fillId="2" borderId="13" xfId="1" applyNumberFormat="1" applyFont="1" applyFill="1" applyBorder="1" applyAlignment="1">
      <alignment horizontal="center" vertical="center" wrapText="1"/>
    </xf>
    <xf numFmtId="165" fontId="3" fillId="2" borderId="9" xfId="1" quotePrefix="1" applyNumberFormat="1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FA217E-21FC-434D-B65F-7F0CB17E915E}"/>
  </cellStyles>
  <dxfs count="0"/>
  <tableStyles count="0" defaultTableStyle="TableStyleMedium2" defaultPivotStyle="PivotStyleLight16"/>
  <colors>
    <mruColors>
      <color rgb="FFFFE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A8EF-1233-4DE6-9CC4-FF6EE83094FB}">
  <dimension ref="A1:F47"/>
  <sheetViews>
    <sheetView topLeftCell="A2" zoomScale="110" zoomScaleNormal="110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E63" sqref="E62:E63"/>
    </sheetView>
  </sheetViews>
  <sheetFormatPr defaultColWidth="8.7109375" defaultRowHeight="13.5" x14ac:dyDescent="0.25"/>
  <cols>
    <col min="1" max="1" width="13.85546875" style="1" customWidth="1"/>
    <col min="2" max="2" width="103.140625" style="1" customWidth="1"/>
    <col min="3" max="3" width="17.42578125" style="1" bestFit="1" customWidth="1"/>
    <col min="4" max="4" width="16.28515625" style="1" bestFit="1" customWidth="1"/>
    <col min="5" max="6" width="16.5703125" style="1" bestFit="1" customWidth="1"/>
    <col min="7" max="16384" width="8.7109375" style="1"/>
  </cols>
  <sheetData>
    <row r="1" spans="1:6" ht="20.25" customHeight="1" x14ac:dyDescent="0.25">
      <c r="A1" s="103" t="s">
        <v>5</v>
      </c>
      <c r="B1" s="103"/>
      <c r="C1" s="103"/>
      <c r="D1" s="103"/>
      <c r="E1" s="103"/>
      <c r="F1" s="103"/>
    </row>
    <row r="2" spans="1:6" ht="20.25" customHeight="1" x14ac:dyDescent="0.25">
      <c r="A2" s="104" t="s">
        <v>189</v>
      </c>
      <c r="B2" s="104"/>
      <c r="C2" s="104"/>
      <c r="D2" s="104"/>
      <c r="E2" s="104"/>
      <c r="F2" s="104"/>
    </row>
    <row r="3" spans="1:6" x14ac:dyDescent="0.25">
      <c r="A3" s="105" t="s">
        <v>6</v>
      </c>
      <c r="B3" s="105" t="s">
        <v>7</v>
      </c>
      <c r="C3" s="107" t="s">
        <v>190</v>
      </c>
      <c r="D3" s="108"/>
      <c r="E3" s="109" t="s">
        <v>191</v>
      </c>
      <c r="F3" s="110"/>
    </row>
    <row r="4" spans="1:6" x14ac:dyDescent="0.25">
      <c r="A4" s="106"/>
      <c r="B4" s="106"/>
      <c r="C4" s="2" t="s">
        <v>8</v>
      </c>
      <c r="D4" s="2" t="s">
        <v>9</v>
      </c>
      <c r="E4" s="3" t="s">
        <v>8</v>
      </c>
      <c r="F4" s="3" t="s">
        <v>9</v>
      </c>
    </row>
    <row r="5" spans="1:6" x14ac:dyDescent="0.25">
      <c r="A5" s="4"/>
      <c r="B5" s="5"/>
      <c r="C5" s="6"/>
      <c r="D5" s="6"/>
      <c r="E5" s="7" t="s">
        <v>10</v>
      </c>
      <c r="F5" s="7" t="s">
        <v>10</v>
      </c>
    </row>
    <row r="6" spans="1:6" x14ac:dyDescent="0.25">
      <c r="A6" s="8">
        <v>400110</v>
      </c>
      <c r="B6" s="9" t="s">
        <v>11</v>
      </c>
      <c r="C6" s="10">
        <f>SUM(C7:C10)</f>
        <v>0</v>
      </c>
      <c r="D6" s="10">
        <f>SUM(D7:D10)</f>
        <v>0</v>
      </c>
      <c r="E6" s="10">
        <f>SUM(E7:E10)</f>
        <v>422976</v>
      </c>
      <c r="F6" s="10">
        <f>SUM(F7:F10)</f>
        <v>623401.04999999993</v>
      </c>
    </row>
    <row r="7" spans="1:6" x14ac:dyDescent="0.25">
      <c r="A7" s="11">
        <v>40011011</v>
      </c>
      <c r="B7" s="12" t="s">
        <v>12</v>
      </c>
      <c r="C7" s="13">
        <v>0</v>
      </c>
      <c r="D7" s="13">
        <v>0</v>
      </c>
      <c r="E7" s="13">
        <v>419500</v>
      </c>
      <c r="F7" s="13">
        <v>609830</v>
      </c>
    </row>
    <row r="8" spans="1:6" x14ac:dyDescent="0.25">
      <c r="A8" s="11">
        <v>40011019</v>
      </c>
      <c r="B8" s="12" t="s">
        <v>13</v>
      </c>
      <c r="C8" s="13">
        <v>0</v>
      </c>
      <c r="D8" s="13">
        <v>0</v>
      </c>
      <c r="E8" s="13">
        <v>155</v>
      </c>
      <c r="F8" s="13">
        <v>686.62</v>
      </c>
    </row>
    <row r="9" spans="1:6" x14ac:dyDescent="0.25">
      <c r="A9" s="11">
        <v>40011021</v>
      </c>
      <c r="B9" s="12" t="s">
        <v>14</v>
      </c>
      <c r="C9" s="13">
        <v>0</v>
      </c>
      <c r="D9" s="13">
        <v>0</v>
      </c>
      <c r="E9" s="13">
        <v>3280</v>
      </c>
      <c r="F9" s="13">
        <v>12651.22</v>
      </c>
    </row>
    <row r="10" spans="1:6" x14ac:dyDescent="0.25">
      <c r="A10" s="11">
        <v>40011029</v>
      </c>
      <c r="B10" s="12" t="s">
        <v>15</v>
      </c>
      <c r="C10" s="13">
        <v>0</v>
      </c>
      <c r="D10" s="13">
        <v>0</v>
      </c>
      <c r="E10" s="13">
        <v>41</v>
      </c>
      <c r="F10" s="13">
        <v>233.21</v>
      </c>
    </row>
    <row r="11" spans="1:6" x14ac:dyDescent="0.25">
      <c r="A11" s="11"/>
      <c r="B11" s="12"/>
      <c r="C11" s="15"/>
      <c r="D11" s="15"/>
      <c r="E11" s="6"/>
      <c r="F11" s="15"/>
    </row>
    <row r="12" spans="1:6" x14ac:dyDescent="0.25">
      <c r="A12" s="8">
        <v>400121</v>
      </c>
      <c r="B12" s="9" t="s">
        <v>16</v>
      </c>
      <c r="C12" s="10">
        <f>SUM(C13:C18)</f>
        <v>3283376</v>
      </c>
      <c r="D12" s="10">
        <f>SUM(D13:D18)</f>
        <v>6708155</v>
      </c>
      <c r="E12" s="10">
        <f>SUM(E13:E18)</f>
        <v>34069791</v>
      </c>
      <c r="F12" s="10">
        <f>SUM(F13:F18)</f>
        <v>78063111.359999999</v>
      </c>
    </row>
    <row r="13" spans="1:6" x14ac:dyDescent="0.25">
      <c r="A13" s="11">
        <v>40012110</v>
      </c>
      <c r="B13" s="12" t="s">
        <v>17</v>
      </c>
      <c r="C13" s="16">
        <v>3283376</v>
      </c>
      <c r="D13" s="17">
        <v>6708155</v>
      </c>
      <c r="E13" s="18">
        <f>C13+30786415</f>
        <v>34069791</v>
      </c>
      <c r="F13" s="18">
        <f>D13+71354956.36</f>
        <v>78063111.359999999</v>
      </c>
    </row>
    <row r="14" spans="1:6" x14ac:dyDescent="0.25">
      <c r="A14" s="11">
        <v>40012120</v>
      </c>
      <c r="B14" s="12" t="s">
        <v>18</v>
      </c>
      <c r="C14" s="19">
        <v>0</v>
      </c>
      <c r="D14" s="13">
        <v>0</v>
      </c>
      <c r="E14" s="13">
        <v>0</v>
      </c>
      <c r="F14" s="13">
        <v>0</v>
      </c>
    </row>
    <row r="15" spans="1:6" x14ac:dyDescent="0.25">
      <c r="A15" s="11">
        <v>40012130</v>
      </c>
      <c r="B15" s="12" t="s">
        <v>19</v>
      </c>
      <c r="C15" s="19">
        <v>0</v>
      </c>
      <c r="D15" s="13">
        <v>0</v>
      </c>
      <c r="E15" s="13">
        <v>0</v>
      </c>
      <c r="F15" s="13">
        <v>0</v>
      </c>
    </row>
    <row r="16" spans="1:6" x14ac:dyDescent="0.25">
      <c r="A16" s="11">
        <v>40012140</v>
      </c>
      <c r="B16" s="12" t="s">
        <v>20</v>
      </c>
      <c r="C16" s="19">
        <v>0</v>
      </c>
      <c r="D16" s="13">
        <v>0</v>
      </c>
      <c r="E16" s="13">
        <v>0</v>
      </c>
      <c r="F16" s="13">
        <v>0</v>
      </c>
    </row>
    <row r="17" spans="1:6" x14ac:dyDescent="0.25">
      <c r="A17" s="11">
        <v>40012150</v>
      </c>
      <c r="B17" s="12" t="s">
        <v>21</v>
      </c>
      <c r="C17" s="19">
        <v>0</v>
      </c>
      <c r="D17" s="13">
        <v>0</v>
      </c>
      <c r="E17" s="13">
        <v>0</v>
      </c>
      <c r="F17" s="13">
        <v>0</v>
      </c>
    </row>
    <row r="18" spans="1:6" x14ac:dyDescent="0.25">
      <c r="A18" s="11">
        <v>40012190</v>
      </c>
      <c r="B18" s="12" t="s">
        <v>22</v>
      </c>
      <c r="C18" s="19">
        <v>0</v>
      </c>
      <c r="D18" s="13">
        <v>0</v>
      </c>
      <c r="E18" s="13">
        <v>0</v>
      </c>
      <c r="F18" s="13">
        <v>0</v>
      </c>
    </row>
    <row r="19" spans="1:6" x14ac:dyDescent="0.25">
      <c r="A19" s="11"/>
      <c r="B19" s="20"/>
      <c r="C19" s="21"/>
      <c r="D19" s="22"/>
      <c r="E19" s="22"/>
      <c r="F19" s="22"/>
    </row>
    <row r="20" spans="1:6" x14ac:dyDescent="0.25">
      <c r="A20" s="8">
        <v>400122</v>
      </c>
      <c r="B20" s="9" t="s">
        <v>23</v>
      </c>
      <c r="C20" s="23">
        <f>SUM(C21:C27)</f>
        <v>102961401.2</v>
      </c>
      <c r="D20" s="23">
        <f>SUM(D21:D27)</f>
        <v>186989979.13999999</v>
      </c>
      <c r="E20" s="23">
        <f>SUM(E21:E27)</f>
        <v>1529774023.4799998</v>
      </c>
      <c r="F20" s="23">
        <f>SUM(F21:F27)</f>
        <v>2891142693.1299996</v>
      </c>
    </row>
    <row r="21" spans="1:6" x14ac:dyDescent="0.25">
      <c r="A21" s="24">
        <v>40012210</v>
      </c>
      <c r="B21" s="25" t="s">
        <v>24</v>
      </c>
      <c r="C21" s="22">
        <v>7842425.4000000004</v>
      </c>
      <c r="D21" s="22">
        <v>14171830.039999999</v>
      </c>
      <c r="E21" s="26">
        <f>C21+96798538.4</f>
        <v>104640963.80000001</v>
      </c>
      <c r="F21" s="26">
        <f>D21+186190544.58</f>
        <v>200362374.62</v>
      </c>
    </row>
    <row r="22" spans="1:6" x14ac:dyDescent="0.25">
      <c r="A22" s="24">
        <v>40012220</v>
      </c>
      <c r="B22" s="25" t="s">
        <v>25</v>
      </c>
      <c r="C22" s="22">
        <v>94171455.799999997</v>
      </c>
      <c r="D22" s="22">
        <v>170972000.13999999</v>
      </c>
      <c r="E22" s="26">
        <f>C22+1315379463.78</f>
        <v>1409550919.5799999</v>
      </c>
      <c r="F22" s="26">
        <f>D22+2485853725.84</f>
        <v>2656825725.98</v>
      </c>
    </row>
    <row r="23" spans="1:6" x14ac:dyDescent="0.25">
      <c r="A23" s="24">
        <v>40012230</v>
      </c>
      <c r="B23" s="25" t="s">
        <v>26</v>
      </c>
      <c r="C23" s="13">
        <v>75600</v>
      </c>
      <c r="D23" s="13">
        <v>149688</v>
      </c>
      <c r="E23" s="26">
        <f>C23+1787940</f>
        <v>1863540</v>
      </c>
      <c r="F23" s="26">
        <f>D23+5290910.1</f>
        <v>5440598.0999999996</v>
      </c>
    </row>
    <row r="24" spans="1:6" x14ac:dyDescent="0.25">
      <c r="A24" s="24">
        <v>40012240</v>
      </c>
      <c r="B24" s="25" t="s">
        <v>27</v>
      </c>
      <c r="C24" s="13">
        <v>871920</v>
      </c>
      <c r="D24" s="13">
        <v>1696460.96</v>
      </c>
      <c r="E24" s="26">
        <f>C24+11809980</f>
        <v>12681900</v>
      </c>
      <c r="F24" s="26">
        <f>D24+23149306.33</f>
        <v>24845767.289999999</v>
      </c>
    </row>
    <row r="25" spans="1:6" x14ac:dyDescent="0.25">
      <c r="A25" s="24">
        <v>40012250</v>
      </c>
      <c r="B25" s="25" t="s">
        <v>28</v>
      </c>
      <c r="C25" s="13">
        <v>0</v>
      </c>
      <c r="D25" s="13">
        <v>0</v>
      </c>
      <c r="E25" s="13">
        <v>6</v>
      </c>
      <c r="F25" s="13">
        <v>8.64</v>
      </c>
    </row>
    <row r="26" spans="1:6" x14ac:dyDescent="0.25">
      <c r="A26" s="24">
        <v>40012260</v>
      </c>
      <c r="B26" s="25" t="s">
        <v>29</v>
      </c>
      <c r="C26" s="13">
        <v>0</v>
      </c>
      <c r="D26" s="13">
        <v>0</v>
      </c>
      <c r="E26" s="13">
        <v>0</v>
      </c>
      <c r="F26" s="13">
        <v>0</v>
      </c>
    </row>
    <row r="27" spans="1:6" x14ac:dyDescent="0.25">
      <c r="A27" s="24">
        <v>40012290</v>
      </c>
      <c r="B27" s="27" t="s">
        <v>150</v>
      </c>
      <c r="C27" s="13"/>
      <c r="D27" s="13"/>
      <c r="E27" s="13">
        <v>1036694.1</v>
      </c>
      <c r="F27" s="13">
        <v>3668218.5</v>
      </c>
    </row>
    <row r="28" spans="1:6" x14ac:dyDescent="0.25">
      <c r="A28" s="11"/>
      <c r="B28" s="12"/>
      <c r="C28" s="22"/>
      <c r="D28" s="22"/>
      <c r="E28" s="22"/>
      <c r="F28" s="22"/>
    </row>
    <row r="29" spans="1:6" x14ac:dyDescent="0.25">
      <c r="A29" s="28">
        <v>400280</v>
      </c>
      <c r="B29" s="9" t="s">
        <v>30</v>
      </c>
      <c r="C29" s="23">
        <f>SUM(C30:C31)</f>
        <v>14719322.050000001</v>
      </c>
      <c r="D29" s="23">
        <f>SUM(D30:D31)</f>
        <v>26146310.09</v>
      </c>
      <c r="E29" s="23">
        <f>SUM(E30:E31)</f>
        <v>104874294.16</v>
      </c>
      <c r="F29" s="23">
        <f>SUM(F30:F31)</f>
        <v>190117859.49000001</v>
      </c>
    </row>
    <row r="30" spans="1:6" x14ac:dyDescent="0.25">
      <c r="A30" s="24">
        <v>40028010</v>
      </c>
      <c r="B30" s="25" t="s">
        <v>31</v>
      </c>
      <c r="C30" s="22">
        <v>4697280.05</v>
      </c>
      <c r="D30" s="22">
        <v>8259861.5300000003</v>
      </c>
      <c r="E30" s="26">
        <f>C30+28949760.72</f>
        <v>33647040.769999996</v>
      </c>
      <c r="F30" s="26">
        <f>D30+51367744.25</f>
        <v>59627605.780000001</v>
      </c>
    </row>
    <row r="31" spans="1:6" x14ac:dyDescent="0.25">
      <c r="A31" s="24">
        <v>40028090</v>
      </c>
      <c r="B31" s="25" t="s">
        <v>32</v>
      </c>
      <c r="C31" s="22">
        <v>10022042</v>
      </c>
      <c r="D31" s="22">
        <v>17886448.559999999</v>
      </c>
      <c r="E31" s="26">
        <f>C31+61205211.39</f>
        <v>71227253.390000001</v>
      </c>
      <c r="F31" s="26">
        <f>D31+112603805.15</f>
        <v>130490253.71000001</v>
      </c>
    </row>
    <row r="32" spans="1:6" x14ac:dyDescent="0.25">
      <c r="A32" s="11"/>
      <c r="B32" s="12"/>
      <c r="C32" s="22"/>
      <c r="D32" s="22"/>
      <c r="E32" s="22"/>
      <c r="F32" s="22"/>
    </row>
    <row r="33" spans="1:6" x14ac:dyDescent="0.25">
      <c r="A33" s="28">
        <v>400510</v>
      </c>
      <c r="B33" s="9" t="s">
        <v>33</v>
      </c>
      <c r="C33" s="23">
        <f>SUM(C34:C41)</f>
        <v>4068138.4</v>
      </c>
      <c r="D33" s="23">
        <f>SUM(D34:D41)</f>
        <v>10349664.93</v>
      </c>
      <c r="E33" s="23">
        <f>SUM(E34:E41)</f>
        <v>30259767.25</v>
      </c>
      <c r="F33" s="23">
        <f>SUM(F34:F41)</f>
        <v>97154505.969999984</v>
      </c>
    </row>
    <row r="34" spans="1:6" x14ac:dyDescent="0.25">
      <c r="A34" s="24">
        <v>40051010</v>
      </c>
      <c r="B34" s="25" t="s">
        <v>34</v>
      </c>
      <c r="C34" s="22">
        <v>76893.86</v>
      </c>
      <c r="D34" s="22">
        <v>234804.44</v>
      </c>
      <c r="E34" s="26">
        <f>C34+453139.92</f>
        <v>530033.78</v>
      </c>
      <c r="F34" s="26">
        <f>D34+1740077.62</f>
        <v>1974882.06</v>
      </c>
    </row>
    <row r="35" spans="1:6" x14ac:dyDescent="0.25">
      <c r="A35" s="24">
        <v>40051090</v>
      </c>
      <c r="B35" s="25" t="s">
        <v>35</v>
      </c>
      <c r="C35" s="22">
        <v>1031248.66</v>
      </c>
      <c r="D35" s="22">
        <v>1955981.42</v>
      </c>
      <c r="E35" s="26">
        <f>C35+8237342.98</f>
        <v>9268591.6400000006</v>
      </c>
      <c r="F35" s="26">
        <f>D35+17699666.63</f>
        <v>19655648.049999997</v>
      </c>
    </row>
    <row r="36" spans="1:6" x14ac:dyDescent="0.25">
      <c r="A36" s="24">
        <v>40052000</v>
      </c>
      <c r="B36" s="25" t="s">
        <v>151</v>
      </c>
      <c r="C36" s="13">
        <v>1200</v>
      </c>
      <c r="D36" s="13">
        <v>7200</v>
      </c>
      <c r="E36" s="26">
        <f>C36+1704.71</f>
        <v>2904.71</v>
      </c>
      <c r="F36" s="26">
        <f>D36+7095.8</f>
        <v>14295.8</v>
      </c>
    </row>
    <row r="37" spans="1:6" x14ac:dyDescent="0.25">
      <c r="A37" s="24">
        <v>40059110</v>
      </c>
      <c r="B37" s="25" t="s">
        <v>36</v>
      </c>
      <c r="C37" s="13">
        <v>0</v>
      </c>
      <c r="D37" s="13">
        <v>0</v>
      </c>
      <c r="E37" s="13">
        <v>2113</v>
      </c>
      <c r="F37" s="13">
        <f>D37+3749.52</f>
        <v>3749.52</v>
      </c>
    </row>
    <row r="38" spans="1:6" x14ac:dyDescent="0.25">
      <c r="A38" s="24">
        <v>40059190</v>
      </c>
      <c r="B38" s="25" t="s">
        <v>37</v>
      </c>
      <c r="C38" s="22">
        <v>1805814.78</v>
      </c>
      <c r="D38" s="22">
        <v>7822160.1699999999</v>
      </c>
      <c r="E38" s="26">
        <f>C38+13479265.76</f>
        <v>15285080.539999999</v>
      </c>
      <c r="F38" s="26">
        <f>D38+62273240.11</f>
        <v>70095400.280000001</v>
      </c>
    </row>
    <row r="39" spans="1:6" x14ac:dyDescent="0.25">
      <c r="A39" s="24">
        <v>40059910</v>
      </c>
      <c r="B39" s="29" t="s">
        <v>152</v>
      </c>
      <c r="C39" s="13">
        <v>0</v>
      </c>
      <c r="D39" s="13">
        <v>0</v>
      </c>
      <c r="E39" s="13">
        <v>1237</v>
      </c>
      <c r="F39" s="13">
        <f>D39+2210</f>
        <v>2210</v>
      </c>
    </row>
    <row r="40" spans="1:6" x14ac:dyDescent="0.25">
      <c r="A40" s="24">
        <v>40059920</v>
      </c>
      <c r="B40" s="25" t="s">
        <v>38</v>
      </c>
      <c r="C40" s="13">
        <v>0</v>
      </c>
      <c r="D40" s="13">
        <v>0</v>
      </c>
      <c r="E40" s="26">
        <v>915.29</v>
      </c>
      <c r="F40" s="26">
        <v>2544.1</v>
      </c>
    </row>
    <row r="41" spans="1:6" x14ac:dyDescent="0.25">
      <c r="A41" s="24">
        <v>40059990</v>
      </c>
      <c r="B41" s="25" t="s">
        <v>39</v>
      </c>
      <c r="C41" s="22">
        <v>1152981.1000000001</v>
      </c>
      <c r="D41" s="22">
        <v>329518.90000000002</v>
      </c>
      <c r="E41" s="26">
        <f>C41+4015910.19</f>
        <v>5168891.29</v>
      </c>
      <c r="F41" s="26">
        <f>D41+5076257.26</f>
        <v>5405776.1600000001</v>
      </c>
    </row>
    <row r="42" spans="1:6" x14ac:dyDescent="0.25">
      <c r="A42" s="24"/>
      <c r="B42" s="25"/>
      <c r="C42" s="22"/>
      <c r="D42" s="22"/>
      <c r="E42" s="22"/>
      <c r="F42" s="22"/>
    </row>
    <row r="43" spans="1:6" x14ac:dyDescent="0.25">
      <c r="A43" s="30"/>
      <c r="B43" s="31" t="s">
        <v>40</v>
      </c>
      <c r="C43" s="32">
        <f>C6+C12+C20+C29+C33</f>
        <v>125032237.65000001</v>
      </c>
      <c r="D43" s="74">
        <f>D6+D12+D20+D29+D33</f>
        <v>230194109.16</v>
      </c>
      <c r="E43" s="32">
        <f>E6+E12+E20+E29+E33</f>
        <v>1699400851.8899999</v>
      </c>
      <c r="F43" s="32">
        <f>F6+F12+F20+F29+F33</f>
        <v>3257101570.9999995</v>
      </c>
    </row>
    <row r="44" spans="1:6" x14ac:dyDescent="0.25">
      <c r="A44" s="102" t="s">
        <v>171</v>
      </c>
      <c r="B44" s="102"/>
      <c r="C44" s="33"/>
      <c r="D44" s="33"/>
      <c r="E44" s="34"/>
      <c r="F44" s="34"/>
    </row>
    <row r="45" spans="1:6" x14ac:dyDescent="0.25">
      <c r="C45" s="35"/>
      <c r="D45" s="35"/>
    </row>
    <row r="46" spans="1:6" x14ac:dyDescent="0.25">
      <c r="C46" s="35"/>
      <c r="D46" s="35"/>
      <c r="E46" s="35"/>
      <c r="F46" s="35"/>
    </row>
    <row r="47" spans="1:6" x14ac:dyDescent="0.25">
      <c r="C47" s="36"/>
      <c r="D47" s="36"/>
      <c r="E47" s="36"/>
      <c r="F47" s="36"/>
    </row>
  </sheetData>
  <mergeCells count="7">
    <mergeCell ref="A44:B44"/>
    <mergeCell ref="A1:F1"/>
    <mergeCell ref="A2:F2"/>
    <mergeCell ref="A3:A4"/>
    <mergeCell ref="B3:B4"/>
    <mergeCell ref="C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A616-8281-4063-9423-35150A77DB89}">
  <dimension ref="A1:G73"/>
  <sheetViews>
    <sheetView topLeftCell="A46" zoomScale="120" zoomScaleNormal="120" workbookViewId="0">
      <selection activeCell="F54" sqref="F54"/>
    </sheetView>
  </sheetViews>
  <sheetFormatPr defaultColWidth="8.7109375" defaultRowHeight="13.5" x14ac:dyDescent="0.25"/>
  <cols>
    <col min="1" max="1" width="6.28515625" style="1" customWidth="1"/>
    <col min="2" max="2" width="52.5703125" style="1" customWidth="1"/>
    <col min="3" max="3" width="15.7109375" style="36" bestFit="1" customWidth="1"/>
    <col min="4" max="4" width="14.7109375" style="36" bestFit="1" customWidth="1"/>
    <col min="5" max="5" width="16.140625" style="36" bestFit="1" customWidth="1"/>
    <col min="6" max="6" width="15.85546875" style="36" customWidth="1"/>
    <col min="7" max="7" width="8.7109375" style="37"/>
    <col min="8" max="9" width="12.7109375" style="1" customWidth="1"/>
    <col min="10" max="16384" width="8.7109375" style="1"/>
  </cols>
  <sheetData>
    <row r="1" spans="1:6" x14ac:dyDescent="0.25">
      <c r="A1" s="103" t="s">
        <v>41</v>
      </c>
      <c r="B1" s="103"/>
      <c r="C1" s="103"/>
      <c r="D1" s="103"/>
      <c r="E1" s="103"/>
      <c r="F1" s="103"/>
    </row>
    <row r="2" spans="1:6" x14ac:dyDescent="0.25">
      <c r="A2" s="104" t="s">
        <v>192</v>
      </c>
      <c r="B2" s="104"/>
      <c r="C2" s="104"/>
      <c r="D2" s="104"/>
      <c r="E2" s="104"/>
      <c r="F2" s="104"/>
    </row>
    <row r="3" spans="1:6" x14ac:dyDescent="0.25">
      <c r="A3" s="105" t="s">
        <v>42</v>
      </c>
      <c r="B3" s="105" t="s">
        <v>43</v>
      </c>
      <c r="C3" s="111" t="s">
        <v>190</v>
      </c>
      <c r="D3" s="112"/>
      <c r="E3" s="113" t="s">
        <v>193</v>
      </c>
      <c r="F3" s="114"/>
    </row>
    <row r="4" spans="1:6" x14ac:dyDescent="0.25">
      <c r="A4" s="106"/>
      <c r="B4" s="106"/>
      <c r="C4" s="2" t="s">
        <v>44</v>
      </c>
      <c r="D4" s="2" t="s">
        <v>155</v>
      </c>
      <c r="E4" s="2" t="s">
        <v>44</v>
      </c>
      <c r="F4" s="2" t="s">
        <v>155</v>
      </c>
    </row>
    <row r="5" spans="1:6" x14ac:dyDescent="0.25">
      <c r="A5" s="38"/>
      <c r="B5" s="39"/>
      <c r="C5" s="40"/>
      <c r="D5" s="41"/>
      <c r="E5" s="42"/>
      <c r="F5" s="92"/>
    </row>
    <row r="6" spans="1:6" x14ac:dyDescent="0.25">
      <c r="A6" s="38">
        <v>1</v>
      </c>
      <c r="B6" s="43" t="s">
        <v>45</v>
      </c>
      <c r="C6" s="42">
        <f>SUM(C7:C10)</f>
        <v>24176081</v>
      </c>
      <c r="D6" s="42">
        <f>SUM(D7:D10)</f>
        <v>43905339.449999996</v>
      </c>
      <c r="E6" s="42">
        <f>SUM(E7:E10)</f>
        <v>338006818.19999999</v>
      </c>
      <c r="F6" s="42">
        <f>SUM(F7:F10)</f>
        <v>646694090.3499999</v>
      </c>
    </row>
    <row r="7" spans="1:6" x14ac:dyDescent="0.25">
      <c r="A7" s="39"/>
      <c r="B7" s="4" t="s">
        <v>46</v>
      </c>
      <c r="C7" s="44">
        <v>21477161</v>
      </c>
      <c r="D7" s="44">
        <v>39079047.609999999</v>
      </c>
      <c r="E7" s="45">
        <f>C7+269327537.2</f>
        <v>290804698.19999999</v>
      </c>
      <c r="F7" s="45">
        <f>D7+519010858.84</f>
        <v>558089906.44999993</v>
      </c>
    </row>
    <row r="8" spans="1:6" x14ac:dyDescent="0.25">
      <c r="A8" s="39"/>
      <c r="B8" s="46" t="s">
        <v>47</v>
      </c>
      <c r="C8" s="44">
        <v>0</v>
      </c>
      <c r="D8" s="41">
        <v>0</v>
      </c>
      <c r="E8" s="45">
        <v>0</v>
      </c>
      <c r="F8" s="45">
        <v>0</v>
      </c>
    </row>
    <row r="9" spans="1:6" x14ac:dyDescent="0.25">
      <c r="A9" s="39"/>
      <c r="B9" s="46" t="s">
        <v>169</v>
      </c>
      <c r="C9" s="44">
        <v>2661120</v>
      </c>
      <c r="D9" s="41">
        <v>4755946.04</v>
      </c>
      <c r="E9" s="45">
        <f>C9+44503200</f>
        <v>47164320</v>
      </c>
      <c r="F9" s="45">
        <f>D9+83777892.06</f>
        <v>88533838.100000009</v>
      </c>
    </row>
    <row r="10" spans="1:6" x14ac:dyDescent="0.25">
      <c r="A10" s="39"/>
      <c r="B10" s="46" t="s">
        <v>194</v>
      </c>
      <c r="C10" s="44">
        <v>37800</v>
      </c>
      <c r="D10" s="41">
        <v>70345.8</v>
      </c>
      <c r="E10" s="45">
        <f>C10</f>
        <v>37800</v>
      </c>
      <c r="F10" s="45">
        <f>D10</f>
        <v>70345.8</v>
      </c>
    </row>
    <row r="11" spans="1:6" x14ac:dyDescent="0.25">
      <c r="A11" s="4"/>
      <c r="B11" s="43"/>
      <c r="C11" s="41"/>
      <c r="D11" s="44"/>
      <c r="E11" s="42"/>
      <c r="F11" s="42"/>
    </row>
    <row r="12" spans="1:6" x14ac:dyDescent="0.25">
      <c r="A12" s="38">
        <v>2</v>
      </c>
      <c r="B12" s="43" t="s">
        <v>48</v>
      </c>
      <c r="C12" s="47">
        <f>C13</f>
        <v>0</v>
      </c>
      <c r="D12" s="47">
        <f>D13</f>
        <v>0</v>
      </c>
      <c r="E12" s="42">
        <f>SUM(E13)</f>
        <v>0</v>
      </c>
      <c r="F12" s="42">
        <f>SUM(F13)</f>
        <v>0</v>
      </c>
    </row>
    <row r="13" spans="1:6" x14ac:dyDescent="0.25">
      <c r="A13" s="38"/>
      <c r="B13" s="4" t="s">
        <v>49</v>
      </c>
      <c r="C13" s="44">
        <v>0</v>
      </c>
      <c r="D13" s="41">
        <v>0</v>
      </c>
      <c r="E13" s="45">
        <v>0</v>
      </c>
      <c r="F13" s="45">
        <v>0</v>
      </c>
    </row>
    <row r="14" spans="1:6" x14ac:dyDescent="0.25">
      <c r="A14" s="4"/>
      <c r="B14" s="43"/>
      <c r="C14" s="41"/>
      <c r="D14" s="41"/>
      <c r="E14" s="45"/>
      <c r="F14" s="45"/>
    </row>
    <row r="15" spans="1:6" x14ac:dyDescent="0.25">
      <c r="A15" s="38">
        <v>3</v>
      </c>
      <c r="B15" s="43" t="s">
        <v>50</v>
      </c>
      <c r="C15" s="47">
        <f>SUM(C16:C22)</f>
        <v>0</v>
      </c>
      <c r="D15" s="47">
        <f>SUM(D16:D22)</f>
        <v>0</v>
      </c>
      <c r="E15" s="47">
        <f>SUM(E16:E22)</f>
        <v>3945775.09</v>
      </c>
      <c r="F15" s="47">
        <f>SUM(F16:F22)</f>
        <v>7711599.9700000007</v>
      </c>
    </row>
    <row r="16" spans="1:6" x14ac:dyDescent="0.25">
      <c r="A16" s="38"/>
      <c r="B16" s="46" t="s">
        <v>51</v>
      </c>
      <c r="C16" s="41">
        <v>0</v>
      </c>
      <c r="D16" s="41">
        <v>0</v>
      </c>
      <c r="E16" s="45">
        <v>3945480</v>
      </c>
      <c r="F16" s="45">
        <v>7710031.9000000004</v>
      </c>
    </row>
    <row r="17" spans="1:6" x14ac:dyDescent="0.25">
      <c r="A17" s="38"/>
      <c r="B17" s="46" t="s">
        <v>52</v>
      </c>
      <c r="C17" s="41">
        <v>0</v>
      </c>
      <c r="D17" s="41">
        <v>0</v>
      </c>
      <c r="E17" s="45">
        <v>228.59</v>
      </c>
      <c r="F17" s="45">
        <v>1246.1199999999999</v>
      </c>
    </row>
    <row r="18" spans="1:6" x14ac:dyDescent="0.25">
      <c r="A18" s="38"/>
      <c r="B18" s="46" t="s">
        <v>53</v>
      </c>
      <c r="C18" s="41"/>
      <c r="D18" s="41"/>
      <c r="E18" s="45">
        <v>66.5</v>
      </c>
      <c r="F18" s="45">
        <v>321.95</v>
      </c>
    </row>
    <row r="19" spans="1:6" x14ac:dyDescent="0.25">
      <c r="A19" s="38"/>
      <c r="B19" s="46" t="s">
        <v>54</v>
      </c>
      <c r="C19" s="41">
        <v>0</v>
      </c>
      <c r="D19" s="41">
        <v>0</v>
      </c>
      <c r="E19" s="45">
        <v>0</v>
      </c>
      <c r="F19" s="45">
        <v>0</v>
      </c>
    </row>
    <row r="20" spans="1:6" x14ac:dyDescent="0.25">
      <c r="A20" s="38"/>
      <c r="B20" s="46" t="s">
        <v>55</v>
      </c>
      <c r="C20" s="41">
        <v>0</v>
      </c>
      <c r="D20" s="41">
        <v>0</v>
      </c>
      <c r="E20" s="45">
        <v>0</v>
      </c>
      <c r="F20" s="45">
        <v>0</v>
      </c>
    </row>
    <row r="21" spans="1:6" x14ac:dyDescent="0.25">
      <c r="A21" s="38"/>
      <c r="B21" s="46" t="s">
        <v>56</v>
      </c>
      <c r="C21" s="41">
        <v>0</v>
      </c>
      <c r="D21" s="41">
        <v>0</v>
      </c>
      <c r="E21" s="45">
        <v>0</v>
      </c>
      <c r="F21" s="45">
        <v>0</v>
      </c>
    </row>
    <row r="22" spans="1:6" x14ac:dyDescent="0.25">
      <c r="A22" s="4"/>
      <c r="B22" s="46" t="s">
        <v>57</v>
      </c>
      <c r="C22" s="41">
        <v>0</v>
      </c>
      <c r="D22" s="41">
        <v>0</v>
      </c>
      <c r="E22" s="45">
        <v>0</v>
      </c>
      <c r="F22" s="45">
        <v>0</v>
      </c>
    </row>
    <row r="23" spans="1:6" x14ac:dyDescent="0.25">
      <c r="A23" s="4"/>
      <c r="B23" s="48"/>
      <c r="C23" s="41"/>
      <c r="D23" s="41"/>
      <c r="E23" s="45"/>
      <c r="F23" s="45"/>
    </row>
    <row r="24" spans="1:6" x14ac:dyDescent="0.25">
      <c r="A24" s="38">
        <v>4</v>
      </c>
      <c r="B24" s="43" t="s">
        <v>58</v>
      </c>
      <c r="C24" s="47">
        <f>C25</f>
        <v>0</v>
      </c>
      <c r="D24" s="47">
        <f>D25</f>
        <v>0</v>
      </c>
      <c r="E24" s="47">
        <f>E25</f>
        <v>0</v>
      </c>
      <c r="F24" s="47">
        <f>F25</f>
        <v>0</v>
      </c>
    </row>
    <row r="25" spans="1:6" x14ac:dyDescent="0.25">
      <c r="A25" s="4"/>
      <c r="B25" s="46" t="s">
        <v>59</v>
      </c>
      <c r="C25" s="41">
        <v>0</v>
      </c>
      <c r="D25" s="41">
        <v>0</v>
      </c>
      <c r="E25" s="45">
        <v>0</v>
      </c>
      <c r="F25" s="45">
        <v>0</v>
      </c>
    </row>
    <row r="26" spans="1:6" x14ac:dyDescent="0.25">
      <c r="A26" s="4"/>
      <c r="B26" s="43"/>
      <c r="C26" s="41"/>
      <c r="D26" s="41"/>
      <c r="E26" s="45"/>
      <c r="F26" s="45"/>
    </row>
    <row r="27" spans="1:6" x14ac:dyDescent="0.25">
      <c r="A27" s="38">
        <v>5</v>
      </c>
      <c r="B27" s="43" t="s">
        <v>60</v>
      </c>
      <c r="C27" s="47">
        <f>C28</f>
        <v>6038480</v>
      </c>
      <c r="D27" s="47">
        <f>D28</f>
        <v>11248866.5</v>
      </c>
      <c r="E27" s="47">
        <f>E28</f>
        <v>101516880</v>
      </c>
      <c r="F27" s="47">
        <f>F28</f>
        <v>194368784.13999999</v>
      </c>
    </row>
    <row r="28" spans="1:6" x14ac:dyDescent="0.25">
      <c r="A28" s="39"/>
      <c r="B28" s="4" t="s">
        <v>61</v>
      </c>
      <c r="C28" s="44">
        <v>6038480</v>
      </c>
      <c r="D28" s="44">
        <v>11248866.5</v>
      </c>
      <c r="E28" s="45">
        <f>C28+95478400</f>
        <v>101516880</v>
      </c>
      <c r="F28" s="45">
        <f>D28+183119917.64</f>
        <v>194368784.13999999</v>
      </c>
    </row>
    <row r="29" spans="1:6" x14ac:dyDescent="0.25">
      <c r="A29" s="4"/>
      <c r="B29" s="43"/>
      <c r="C29" s="41"/>
      <c r="D29" s="41"/>
      <c r="E29" s="45"/>
      <c r="F29" s="45"/>
    </row>
    <row r="30" spans="1:6" x14ac:dyDescent="0.25">
      <c r="A30" s="38">
        <v>6</v>
      </c>
      <c r="B30" s="43" t="s">
        <v>62</v>
      </c>
      <c r="C30" s="47">
        <f>SUM(C31:C34)</f>
        <v>45890848</v>
      </c>
      <c r="D30" s="47">
        <f>SUM(D31:D34)</f>
        <v>82950370.589999989</v>
      </c>
      <c r="E30" s="47">
        <f>SUM(E31:E34)</f>
        <v>627991835</v>
      </c>
      <c r="F30" s="47">
        <f>SUM(F31:F34)</f>
        <v>1181889816.4299998</v>
      </c>
    </row>
    <row r="31" spans="1:6" x14ac:dyDescent="0.25">
      <c r="A31" s="38"/>
      <c r="B31" s="4" t="s">
        <v>63</v>
      </c>
      <c r="C31" s="44">
        <v>45890848</v>
      </c>
      <c r="D31" s="44">
        <v>82950370.589999989</v>
      </c>
      <c r="E31" s="45">
        <f>C31+582100987</f>
        <v>627991835</v>
      </c>
      <c r="F31" s="45">
        <f>D31+1098939445.84</f>
        <v>1181889816.4299998</v>
      </c>
    </row>
    <row r="32" spans="1:6" x14ac:dyDescent="0.25">
      <c r="A32" s="39"/>
      <c r="B32" s="46" t="s">
        <v>154</v>
      </c>
      <c r="C32" s="41">
        <v>0</v>
      </c>
      <c r="D32" s="41">
        <v>0</v>
      </c>
      <c r="E32" s="45">
        <v>0</v>
      </c>
      <c r="F32" s="45">
        <v>0</v>
      </c>
    </row>
    <row r="33" spans="1:6" x14ac:dyDescent="0.25">
      <c r="A33" s="39"/>
      <c r="B33" s="46" t="s">
        <v>64</v>
      </c>
      <c r="C33" s="41">
        <v>0</v>
      </c>
      <c r="D33" s="41">
        <v>0</v>
      </c>
      <c r="E33" s="45">
        <v>0</v>
      </c>
      <c r="F33" s="45">
        <v>0</v>
      </c>
    </row>
    <row r="34" spans="1:6" x14ac:dyDescent="0.25">
      <c r="A34" s="39"/>
      <c r="B34" s="49" t="s">
        <v>65</v>
      </c>
      <c r="C34" s="44">
        <v>0</v>
      </c>
      <c r="D34" s="44">
        <v>0</v>
      </c>
      <c r="E34" s="45">
        <v>0</v>
      </c>
      <c r="F34" s="45">
        <v>0</v>
      </c>
    </row>
    <row r="35" spans="1:6" x14ac:dyDescent="0.25">
      <c r="A35" s="4"/>
      <c r="B35" s="43"/>
      <c r="C35" s="41"/>
      <c r="D35" s="41"/>
      <c r="E35" s="45"/>
      <c r="F35" s="45"/>
    </row>
    <row r="36" spans="1:6" x14ac:dyDescent="0.25">
      <c r="A36" s="38">
        <v>7</v>
      </c>
      <c r="B36" s="43" t="s">
        <v>66</v>
      </c>
      <c r="C36" s="47">
        <f>C37</f>
        <v>201600</v>
      </c>
      <c r="D36" s="47">
        <f>D37</f>
        <v>348768</v>
      </c>
      <c r="E36" s="47">
        <f>E37</f>
        <v>4339440</v>
      </c>
      <c r="F36" s="47">
        <f>F37</f>
        <v>7708552.3899999997</v>
      </c>
    </row>
    <row r="37" spans="1:6" x14ac:dyDescent="0.25">
      <c r="A37" s="38"/>
      <c r="B37" s="4" t="s">
        <v>67</v>
      </c>
      <c r="C37" s="44">
        <v>201600</v>
      </c>
      <c r="D37" s="44">
        <v>348768</v>
      </c>
      <c r="E37" s="44">
        <f>C37+4137840</f>
        <v>4339440</v>
      </c>
      <c r="F37" s="44">
        <f>D37+7359784.39</f>
        <v>7708552.3899999997</v>
      </c>
    </row>
    <row r="38" spans="1:6" x14ac:dyDescent="0.25">
      <c r="A38" s="4"/>
      <c r="B38" s="43"/>
      <c r="C38" s="41"/>
      <c r="D38" s="41"/>
      <c r="E38" s="45"/>
      <c r="F38" s="45"/>
    </row>
    <row r="39" spans="1:6" x14ac:dyDescent="0.25">
      <c r="A39" s="38">
        <v>8</v>
      </c>
      <c r="B39" s="43" t="s">
        <v>68</v>
      </c>
      <c r="C39" s="47">
        <f>SUM(C40:C42)</f>
        <v>30702298.499999996</v>
      </c>
      <c r="D39" s="47">
        <f>SUM(D40:D42)</f>
        <v>60076732.199999996</v>
      </c>
      <c r="E39" s="47">
        <f>SUM(E40:E42)</f>
        <v>399839377.61000001</v>
      </c>
      <c r="F39" s="47">
        <f>SUM(F40:F42)</f>
        <v>790365338.28999996</v>
      </c>
    </row>
    <row r="40" spans="1:6" x14ac:dyDescent="0.25">
      <c r="A40" s="39"/>
      <c r="B40" s="4" t="s">
        <v>69</v>
      </c>
      <c r="C40" s="44">
        <v>30701805.759999998</v>
      </c>
      <c r="D40" s="44">
        <v>60073889.369999997</v>
      </c>
      <c r="E40" s="45">
        <f>C40+369125756.79</f>
        <v>399827562.55000001</v>
      </c>
      <c r="F40" s="45">
        <f>D40+730236054.54</f>
        <v>790309943.90999997</v>
      </c>
    </row>
    <row r="41" spans="1:6" x14ac:dyDescent="0.25">
      <c r="A41" s="39"/>
      <c r="B41" s="4" t="s">
        <v>70</v>
      </c>
      <c r="C41" s="44">
        <v>492.74</v>
      </c>
      <c r="D41" s="44">
        <v>2842.83</v>
      </c>
      <c r="E41" s="45">
        <f>C41+11322.32</f>
        <v>11815.06</v>
      </c>
      <c r="F41" s="45">
        <f>D41+52551.55</f>
        <v>55394.380000000005</v>
      </c>
    </row>
    <row r="42" spans="1:6" x14ac:dyDescent="0.25">
      <c r="A42" s="4"/>
      <c r="B42" s="50" t="s">
        <v>71</v>
      </c>
      <c r="C42" s="41">
        <v>0</v>
      </c>
      <c r="D42" s="41">
        <v>0</v>
      </c>
      <c r="E42" s="45">
        <v>0</v>
      </c>
      <c r="F42" s="45">
        <v>0</v>
      </c>
    </row>
    <row r="43" spans="1:6" x14ac:dyDescent="0.25">
      <c r="A43" s="4"/>
      <c r="B43" s="43"/>
      <c r="C43" s="41"/>
      <c r="D43" s="41"/>
      <c r="E43" s="45"/>
      <c r="F43" s="45"/>
    </row>
    <row r="44" spans="1:6" x14ac:dyDescent="0.25">
      <c r="A44" s="38">
        <v>9</v>
      </c>
      <c r="B44" s="43" t="s">
        <v>72</v>
      </c>
      <c r="C44" s="47">
        <f>C45</f>
        <v>1050816</v>
      </c>
      <c r="D44" s="47">
        <f>D45</f>
        <v>1892739.8399999999</v>
      </c>
      <c r="E44" s="47">
        <f>E45</f>
        <v>14556480</v>
      </c>
      <c r="F44" s="47">
        <f>F45</f>
        <v>29860468.640000001</v>
      </c>
    </row>
    <row r="45" spans="1:6" x14ac:dyDescent="0.25">
      <c r="A45" s="39"/>
      <c r="B45" s="4" t="s">
        <v>73</v>
      </c>
      <c r="C45" s="44">
        <v>1050816</v>
      </c>
      <c r="D45" s="44">
        <v>1892739.8399999999</v>
      </c>
      <c r="E45" s="45">
        <f>C45+13505664</f>
        <v>14556480</v>
      </c>
      <c r="F45" s="45">
        <f>D45+27967728.8</f>
        <v>29860468.640000001</v>
      </c>
    </row>
    <row r="46" spans="1:6" x14ac:dyDescent="0.25">
      <c r="A46" s="4"/>
      <c r="B46" s="43"/>
      <c r="C46" s="41"/>
      <c r="D46" s="41"/>
      <c r="E46" s="45"/>
      <c r="F46" s="45"/>
    </row>
    <row r="47" spans="1:6" x14ac:dyDescent="0.25">
      <c r="A47" s="38">
        <v>10</v>
      </c>
      <c r="B47" s="43" t="s">
        <v>74</v>
      </c>
      <c r="C47" s="47">
        <f>SUM(C48:C50)</f>
        <v>12961534.1</v>
      </c>
      <c r="D47" s="47">
        <f>SUM(D48:D50)</f>
        <v>22633437.069999997</v>
      </c>
      <c r="E47" s="47">
        <f>SUM(E48:E50)</f>
        <v>152665606.59999999</v>
      </c>
      <c r="F47" s="47">
        <f>SUM(F48:F50)</f>
        <v>291881440.46999997</v>
      </c>
    </row>
    <row r="48" spans="1:6" x14ac:dyDescent="0.25">
      <c r="A48" s="39"/>
      <c r="B48" s="4" t="s">
        <v>75</v>
      </c>
      <c r="C48" s="44">
        <v>12961534.1</v>
      </c>
      <c r="D48" s="44">
        <v>22633437.069999997</v>
      </c>
      <c r="E48" s="45">
        <f>C48+139704072.5</f>
        <v>152665606.59999999</v>
      </c>
      <c r="F48" s="45">
        <f>D48+269248003.4</f>
        <v>291881440.46999997</v>
      </c>
    </row>
    <row r="49" spans="1:6" x14ac:dyDescent="0.25">
      <c r="A49" s="39"/>
      <c r="B49" s="4" t="s">
        <v>76</v>
      </c>
      <c r="C49" s="44">
        <v>0</v>
      </c>
      <c r="D49" s="44">
        <v>0</v>
      </c>
      <c r="E49" s="45">
        <v>0</v>
      </c>
      <c r="F49" s="45">
        <v>0</v>
      </c>
    </row>
    <row r="50" spans="1:6" x14ac:dyDescent="0.25">
      <c r="A50" s="39"/>
      <c r="B50" s="4" t="s">
        <v>156</v>
      </c>
      <c r="C50" s="44">
        <v>0</v>
      </c>
      <c r="D50" s="44">
        <v>0</v>
      </c>
      <c r="E50" s="45">
        <v>0</v>
      </c>
      <c r="F50" s="45">
        <v>0</v>
      </c>
    </row>
    <row r="51" spans="1:6" x14ac:dyDescent="0.25">
      <c r="A51" s="4"/>
      <c r="B51" s="43"/>
      <c r="C51" s="41"/>
      <c r="D51" s="41"/>
      <c r="E51" s="45"/>
      <c r="F51" s="45"/>
    </row>
    <row r="52" spans="1:6" x14ac:dyDescent="0.25">
      <c r="A52" s="38">
        <v>11</v>
      </c>
      <c r="B52" s="43" t="s">
        <v>77</v>
      </c>
      <c r="C52" s="51">
        <f>C53</f>
        <v>0.05</v>
      </c>
      <c r="D52" s="47">
        <f>D53</f>
        <v>36.06</v>
      </c>
      <c r="E52" s="51">
        <f>E53</f>
        <v>0.39</v>
      </c>
      <c r="F52" s="47">
        <f>F53</f>
        <v>324.89</v>
      </c>
    </row>
    <row r="53" spans="1:6" x14ac:dyDescent="0.25">
      <c r="A53" s="4"/>
      <c r="B53" s="4" t="s">
        <v>157</v>
      </c>
      <c r="C53" s="52">
        <v>0.05</v>
      </c>
      <c r="D53" s="44">
        <v>36.06</v>
      </c>
      <c r="E53" s="53">
        <f>C53+0.34</f>
        <v>0.39</v>
      </c>
      <c r="F53" s="45">
        <f>D53+288.83</f>
        <v>324.89</v>
      </c>
    </row>
    <row r="54" spans="1:6" x14ac:dyDescent="0.25">
      <c r="A54" s="4"/>
      <c r="B54" s="43"/>
      <c r="C54" s="41"/>
      <c r="D54" s="41"/>
      <c r="E54" s="45"/>
      <c r="F54" s="45"/>
    </row>
    <row r="55" spans="1:6" x14ac:dyDescent="0.25">
      <c r="A55" s="38">
        <v>12</v>
      </c>
      <c r="B55" s="43" t="s">
        <v>78</v>
      </c>
      <c r="C55" s="47">
        <f>C56</f>
        <v>0</v>
      </c>
      <c r="D55" s="47">
        <f>D56</f>
        <v>0</v>
      </c>
      <c r="E55" s="47">
        <f>E56</f>
        <v>149731</v>
      </c>
      <c r="F55" s="47">
        <f>F56</f>
        <v>260901.25</v>
      </c>
    </row>
    <row r="56" spans="1:6" x14ac:dyDescent="0.25">
      <c r="A56" s="4"/>
      <c r="B56" s="46" t="s">
        <v>79</v>
      </c>
      <c r="C56" s="41"/>
      <c r="D56" s="44"/>
      <c r="E56" s="45">
        <v>149731</v>
      </c>
      <c r="F56" s="45">
        <v>260901.25</v>
      </c>
    </row>
    <row r="57" spans="1:6" x14ac:dyDescent="0.25">
      <c r="A57" s="4"/>
      <c r="B57" s="43"/>
      <c r="C57" s="41"/>
      <c r="D57" s="41"/>
      <c r="E57" s="45"/>
      <c r="F57" s="45"/>
    </row>
    <row r="58" spans="1:6" x14ac:dyDescent="0.25">
      <c r="A58" s="38">
        <v>13</v>
      </c>
      <c r="B58" s="43" t="s">
        <v>80</v>
      </c>
      <c r="C58" s="47">
        <f>SUM(C59:C60)</f>
        <v>3950100</v>
      </c>
      <c r="D58" s="47">
        <f>SUM(D59:D60)</f>
        <v>7013230.6599999992</v>
      </c>
      <c r="E58" s="47">
        <f>SUM(E59:E60)</f>
        <v>56328300</v>
      </c>
      <c r="F58" s="47">
        <f>SUM(F59:F60)</f>
        <v>106235145.89</v>
      </c>
    </row>
    <row r="59" spans="1:6" x14ac:dyDescent="0.25">
      <c r="A59" s="39"/>
      <c r="B59" s="4" t="s">
        <v>81</v>
      </c>
      <c r="C59" s="44">
        <v>3950100</v>
      </c>
      <c r="D59" s="44">
        <v>7013230.6599999992</v>
      </c>
      <c r="E59" s="45">
        <f>C59+52378200</f>
        <v>56328300</v>
      </c>
      <c r="F59" s="45">
        <f>D59+99221915.23</f>
        <v>106235145.89</v>
      </c>
    </row>
    <row r="60" spans="1:6" x14ac:dyDescent="0.25">
      <c r="A60" s="39"/>
      <c r="B60" s="46" t="s">
        <v>82</v>
      </c>
      <c r="C60" s="41">
        <v>0</v>
      </c>
      <c r="D60" s="44">
        <v>0</v>
      </c>
      <c r="E60" s="45">
        <v>0</v>
      </c>
      <c r="F60" s="45">
        <v>0</v>
      </c>
    </row>
    <row r="61" spans="1:6" x14ac:dyDescent="0.25">
      <c r="A61" s="39"/>
      <c r="B61" s="43"/>
      <c r="C61" s="41"/>
      <c r="D61" s="41"/>
      <c r="E61" s="45"/>
      <c r="F61" s="45"/>
    </row>
    <row r="62" spans="1:6" x14ac:dyDescent="0.25">
      <c r="A62" s="38">
        <v>14</v>
      </c>
      <c r="B62" s="43" t="s">
        <v>83</v>
      </c>
      <c r="C62" s="47">
        <f>SUM(C63:C64)</f>
        <v>0</v>
      </c>
      <c r="D62" s="47">
        <f>SUM(D63:D64)</f>
        <v>0</v>
      </c>
      <c r="E62" s="47">
        <f>SUM(E63:E64)</f>
        <v>125</v>
      </c>
      <c r="F62" s="47">
        <f>SUM(F63:F64)</f>
        <v>386.90999999999997</v>
      </c>
    </row>
    <row r="63" spans="1:6" x14ac:dyDescent="0.25">
      <c r="A63" s="39"/>
      <c r="B63" s="46" t="s">
        <v>84</v>
      </c>
      <c r="C63" s="41">
        <v>0</v>
      </c>
      <c r="D63" s="41">
        <v>0</v>
      </c>
      <c r="E63" s="45">
        <v>116</v>
      </c>
      <c r="F63" s="45">
        <v>194.91</v>
      </c>
    </row>
    <row r="64" spans="1:6" x14ac:dyDescent="0.25">
      <c r="A64" s="39"/>
      <c r="B64" s="46" t="s">
        <v>85</v>
      </c>
      <c r="C64" s="41"/>
      <c r="D64" s="44"/>
      <c r="E64" s="45">
        <v>9</v>
      </c>
      <c r="F64" s="45">
        <v>192</v>
      </c>
    </row>
    <row r="65" spans="1:7" x14ac:dyDescent="0.25">
      <c r="A65" s="39"/>
      <c r="B65" s="48"/>
      <c r="C65" s="41"/>
      <c r="D65" s="41"/>
      <c r="E65" s="45"/>
      <c r="F65" s="45"/>
    </row>
    <row r="66" spans="1:7" x14ac:dyDescent="0.25">
      <c r="A66" s="38">
        <v>15</v>
      </c>
      <c r="B66" s="43" t="s">
        <v>86</v>
      </c>
      <c r="C66" s="47">
        <f>C67</f>
        <v>60480</v>
      </c>
      <c r="D66" s="47">
        <f>D67</f>
        <v>124588.8</v>
      </c>
      <c r="E66" s="47">
        <f>E67</f>
        <v>60480</v>
      </c>
      <c r="F66" s="47">
        <f>F67</f>
        <v>124588.8</v>
      </c>
    </row>
    <row r="67" spans="1:7" x14ac:dyDescent="0.25">
      <c r="A67" s="39"/>
      <c r="B67" s="49" t="s">
        <v>87</v>
      </c>
      <c r="C67" s="41">
        <v>60480</v>
      </c>
      <c r="D67" s="41">
        <v>124588.8</v>
      </c>
      <c r="E67" s="45">
        <f>C67</f>
        <v>60480</v>
      </c>
      <c r="F67" s="45">
        <f>D67</f>
        <v>124588.8</v>
      </c>
    </row>
    <row r="68" spans="1:7" x14ac:dyDescent="0.25">
      <c r="A68" s="39"/>
      <c r="B68" s="4"/>
      <c r="C68" s="41"/>
      <c r="D68" s="41"/>
      <c r="E68" s="45"/>
      <c r="F68" s="45"/>
    </row>
    <row r="69" spans="1:7" s="55" customFormat="1" x14ac:dyDescent="0.25">
      <c r="A69" s="38">
        <v>16</v>
      </c>
      <c r="B69" s="43" t="s">
        <v>166</v>
      </c>
      <c r="C69" s="47">
        <f>C70</f>
        <v>0</v>
      </c>
      <c r="D69" s="47">
        <f>D70</f>
        <v>0</v>
      </c>
      <c r="E69" s="47">
        <f>E70</f>
        <v>3</v>
      </c>
      <c r="F69" s="47">
        <f>F70</f>
        <v>132.75</v>
      </c>
      <c r="G69" s="54"/>
    </row>
    <row r="70" spans="1:7" x14ac:dyDescent="0.25">
      <c r="A70" s="39"/>
      <c r="B70" s="4" t="s">
        <v>167</v>
      </c>
      <c r="C70" s="41">
        <v>0</v>
      </c>
      <c r="D70" s="41">
        <v>0</v>
      </c>
      <c r="E70" s="45">
        <v>3</v>
      </c>
      <c r="F70" s="45">
        <v>132.75</v>
      </c>
    </row>
    <row r="71" spans="1:7" x14ac:dyDescent="0.25">
      <c r="A71" s="39"/>
      <c r="B71" s="4"/>
      <c r="C71" s="41"/>
      <c r="D71" s="41"/>
      <c r="E71" s="45"/>
      <c r="F71" s="45"/>
    </row>
    <row r="72" spans="1:7" x14ac:dyDescent="0.25">
      <c r="A72" s="56"/>
      <c r="B72" s="30" t="s">
        <v>88</v>
      </c>
      <c r="C72" s="57">
        <f>C6+C12+C15+C24+C27+C30+C36+C39+C44+C47+C52+C55+C58+C62+C66+C69</f>
        <v>125032237.64999999</v>
      </c>
      <c r="D72" s="57">
        <f>D6+D12+D15+D24+D27+D30+D36+D39+D44+D47+D52+D55+D58+D62+D66+D69</f>
        <v>230194109.16999999</v>
      </c>
      <c r="E72" s="57">
        <f>E6+E12+E15+E24+E27+E30+E36+E39+E44+E47+E52+E55+E58+E62+E66+E69</f>
        <v>1699400851.8900001</v>
      </c>
      <c r="F72" s="57">
        <f>F6+F12+F15+F24+F27+F30+F36+F39+F44+F47+F52+F55+F58+F62+F66+F69</f>
        <v>3257101571.1699991</v>
      </c>
    </row>
    <row r="73" spans="1:7" x14ac:dyDescent="0.25">
      <c r="A73" s="27" t="s">
        <v>171</v>
      </c>
    </row>
  </sheetData>
  <mergeCells count="6">
    <mergeCell ref="A1:F1"/>
    <mergeCell ref="A2:F2"/>
    <mergeCell ref="A3:A4"/>
    <mergeCell ref="B3:B4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20A4-7F39-4AA2-B31A-5543EF7C5415}">
  <dimension ref="A1:I84"/>
  <sheetViews>
    <sheetView tabSelected="1" topLeftCell="A8" zoomScale="115" zoomScaleNormal="115" workbookViewId="0">
      <selection activeCell="H17" sqref="H17"/>
    </sheetView>
  </sheetViews>
  <sheetFormatPr defaultColWidth="8.7109375" defaultRowHeight="13.5" x14ac:dyDescent="0.25"/>
  <cols>
    <col min="1" max="1" width="8.7109375" style="1"/>
    <col min="2" max="2" width="34" style="1" customWidth="1"/>
    <col min="3" max="3" width="16.28515625" style="36" customWidth="1"/>
    <col min="4" max="4" width="15" style="36" customWidth="1"/>
    <col min="5" max="6" width="16.28515625" style="1" bestFit="1" customWidth="1"/>
    <col min="7" max="7" width="8.7109375" style="37"/>
    <col min="8" max="9" width="12" style="1" bestFit="1" customWidth="1"/>
    <col min="10" max="16384" width="8.7109375" style="1"/>
  </cols>
  <sheetData>
    <row r="1" spans="1:9" x14ac:dyDescent="0.25">
      <c r="A1" s="103" t="s">
        <v>89</v>
      </c>
      <c r="B1" s="103"/>
      <c r="C1" s="103"/>
      <c r="D1" s="103"/>
      <c r="E1" s="103"/>
      <c r="F1" s="103"/>
    </row>
    <row r="2" spans="1:9" x14ac:dyDescent="0.25">
      <c r="A2" s="103" t="s">
        <v>192</v>
      </c>
      <c r="B2" s="103"/>
      <c r="C2" s="103"/>
      <c r="D2" s="103"/>
      <c r="E2" s="103"/>
      <c r="F2" s="103"/>
    </row>
    <row r="3" spans="1:9" x14ac:dyDescent="0.25">
      <c r="A3" s="103"/>
      <c r="B3" s="103"/>
      <c r="C3" s="103"/>
      <c r="D3" s="103"/>
      <c r="E3" s="103"/>
      <c r="F3" s="103"/>
    </row>
    <row r="4" spans="1:9" x14ac:dyDescent="0.25">
      <c r="A4" s="105" t="s">
        <v>42</v>
      </c>
      <c r="B4" s="105" t="s">
        <v>90</v>
      </c>
      <c r="C4" s="115" t="s">
        <v>190</v>
      </c>
      <c r="D4" s="116"/>
      <c r="E4" s="116" t="s">
        <v>191</v>
      </c>
      <c r="F4" s="116"/>
    </row>
    <row r="5" spans="1:9" x14ac:dyDescent="0.25">
      <c r="A5" s="106"/>
      <c r="B5" s="106"/>
      <c r="C5" s="2" t="s">
        <v>8</v>
      </c>
      <c r="D5" s="2" t="s">
        <v>9</v>
      </c>
      <c r="E5" s="58" t="s">
        <v>8</v>
      </c>
      <c r="F5" s="58" t="s">
        <v>9</v>
      </c>
    </row>
    <row r="6" spans="1:9" ht="8.4499999999999993" customHeight="1" x14ac:dyDescent="0.25">
      <c r="A6" s="59"/>
      <c r="B6" s="60"/>
      <c r="C6" s="61"/>
      <c r="D6" s="61"/>
      <c r="E6" s="62"/>
      <c r="F6" s="62"/>
    </row>
    <row r="7" spans="1:9" s="98" customFormat="1" x14ac:dyDescent="0.25">
      <c r="A7" s="93">
        <v>1</v>
      </c>
      <c r="B7" s="94" t="s">
        <v>91</v>
      </c>
      <c r="C7" s="95">
        <v>24930580.399999999</v>
      </c>
      <c r="D7" s="95">
        <v>45259998.009999998</v>
      </c>
      <c r="E7" s="95">
        <f>C7+306797369.99</f>
        <v>331727950.38999999</v>
      </c>
      <c r="F7" s="95">
        <f>D7+580924697.12</f>
        <v>626184695.13</v>
      </c>
      <c r="G7" s="96"/>
      <c r="H7" s="97"/>
      <c r="I7" s="97"/>
    </row>
    <row r="8" spans="1:9" s="98" customFormat="1" x14ac:dyDescent="0.25">
      <c r="A8" s="93">
        <f>A7+1</f>
        <v>2</v>
      </c>
      <c r="B8" s="94" t="s">
        <v>92</v>
      </c>
      <c r="C8" s="95">
        <v>2837520</v>
      </c>
      <c r="D8" s="95">
        <v>5114898.0199999996</v>
      </c>
      <c r="E8" s="95">
        <f>C8+55308048.81</f>
        <v>58145568.810000002</v>
      </c>
      <c r="F8" s="95">
        <f>D8+102901967.41</f>
        <v>108016865.42999999</v>
      </c>
      <c r="G8" s="96"/>
      <c r="H8" s="97"/>
      <c r="I8" s="97"/>
    </row>
    <row r="9" spans="1:9" x14ac:dyDescent="0.25">
      <c r="A9" s="63">
        <f t="shared" ref="A9:A72" si="0">A8+1</f>
        <v>3</v>
      </c>
      <c r="B9" s="64" t="s">
        <v>93</v>
      </c>
      <c r="C9" s="14">
        <v>1959377</v>
      </c>
      <c r="D9" s="14">
        <v>3535294.1100000003</v>
      </c>
      <c r="E9" s="14">
        <f>C9+22460389.8</f>
        <v>24419766.800000001</v>
      </c>
      <c r="F9" s="14">
        <f>D9+42789015.8</f>
        <v>46324309.909999996</v>
      </c>
      <c r="H9" s="36"/>
      <c r="I9" s="36"/>
    </row>
    <row r="10" spans="1:9" x14ac:dyDescent="0.25">
      <c r="A10" s="63">
        <f t="shared" si="0"/>
        <v>4</v>
      </c>
      <c r="B10" s="64" t="s">
        <v>148</v>
      </c>
      <c r="C10" s="65">
        <v>0</v>
      </c>
      <c r="D10" s="14">
        <v>0</v>
      </c>
      <c r="E10" s="65">
        <v>7.0000000000000007E-2</v>
      </c>
      <c r="F10" s="14">
        <v>11.13</v>
      </c>
      <c r="H10" s="36"/>
      <c r="I10" s="36"/>
    </row>
    <row r="11" spans="1:9" s="98" customFormat="1" x14ac:dyDescent="0.25">
      <c r="A11" s="93">
        <f t="shared" si="0"/>
        <v>5</v>
      </c>
      <c r="B11" s="94" t="s">
        <v>94</v>
      </c>
      <c r="C11" s="95">
        <v>26973374.560000002</v>
      </c>
      <c r="D11" s="95">
        <v>46502955.640000001</v>
      </c>
      <c r="E11" s="95">
        <f>C11+373446671.88</f>
        <v>400420046.44</v>
      </c>
      <c r="F11" s="95">
        <f>D11+691911174.91</f>
        <v>738414130.54999995</v>
      </c>
      <c r="G11" s="96"/>
      <c r="H11" s="97"/>
      <c r="I11" s="97"/>
    </row>
    <row r="12" spans="1:9" x14ac:dyDescent="0.25">
      <c r="A12" s="63">
        <f t="shared" si="0"/>
        <v>6</v>
      </c>
      <c r="B12" s="64" t="s">
        <v>95</v>
      </c>
      <c r="C12" s="91">
        <v>7.8</v>
      </c>
      <c r="D12" s="91">
        <v>13.3</v>
      </c>
      <c r="E12" s="14">
        <f>C12+568.64</f>
        <v>576.43999999999994</v>
      </c>
      <c r="F12" s="14">
        <f>D12+1948.01</f>
        <v>1961.31</v>
      </c>
      <c r="H12" s="36"/>
      <c r="I12" s="36"/>
    </row>
    <row r="13" spans="1:9" x14ac:dyDescent="0.25">
      <c r="A13" s="63">
        <f t="shared" si="0"/>
        <v>7</v>
      </c>
      <c r="B13" s="64" t="s">
        <v>96</v>
      </c>
      <c r="C13" s="14">
        <v>40320</v>
      </c>
      <c r="D13" s="14">
        <v>86889.600000000006</v>
      </c>
      <c r="E13" s="14">
        <f>C13+1443280.1</f>
        <v>1483600.1</v>
      </c>
      <c r="F13" s="14">
        <f>D13+2614533.22</f>
        <v>2701422.8200000003</v>
      </c>
      <c r="H13" s="36"/>
      <c r="I13" s="36"/>
    </row>
    <row r="14" spans="1:9" s="98" customFormat="1" x14ac:dyDescent="0.25">
      <c r="A14" s="93">
        <f t="shared" si="0"/>
        <v>8</v>
      </c>
      <c r="B14" s="94" t="s">
        <v>97</v>
      </c>
      <c r="C14" s="95">
        <v>9556802.9000000004</v>
      </c>
      <c r="D14" s="95">
        <v>17268534.620000001</v>
      </c>
      <c r="E14" s="95">
        <f>C14+136634642.53</f>
        <v>146191445.43000001</v>
      </c>
      <c r="F14" s="95">
        <f>D14+253565081.42</f>
        <v>270833616.03999996</v>
      </c>
      <c r="G14" s="96"/>
      <c r="H14" s="97"/>
      <c r="I14" s="97"/>
    </row>
    <row r="15" spans="1:9" x14ac:dyDescent="0.25">
      <c r="A15" s="63">
        <f t="shared" si="0"/>
        <v>9</v>
      </c>
      <c r="B15" s="64" t="s">
        <v>184</v>
      </c>
      <c r="C15" s="14">
        <v>22000</v>
      </c>
      <c r="D15" s="14">
        <v>21780</v>
      </c>
      <c r="E15" s="14">
        <f>C15+28700</f>
        <v>50700</v>
      </c>
      <c r="F15" s="14">
        <f>D15+28553</f>
        <v>50333</v>
      </c>
      <c r="H15" s="36"/>
      <c r="I15" s="36"/>
    </row>
    <row r="16" spans="1:9" x14ac:dyDescent="0.25">
      <c r="A16" s="63">
        <f t="shared" si="0"/>
        <v>10</v>
      </c>
      <c r="B16" s="66" t="s">
        <v>172</v>
      </c>
      <c r="C16" s="14">
        <v>5909108.6600000001</v>
      </c>
      <c r="D16" s="14">
        <v>14946764.1</v>
      </c>
      <c r="E16" s="14">
        <f>C16+32814732.58</f>
        <v>38723841.239999995</v>
      </c>
      <c r="F16" s="14">
        <f>D16+98040409.17</f>
        <v>112987173.27</v>
      </c>
      <c r="H16" s="36"/>
      <c r="I16" s="36"/>
    </row>
    <row r="17" spans="1:9" x14ac:dyDescent="0.25">
      <c r="A17" s="63">
        <f t="shared" si="0"/>
        <v>11</v>
      </c>
      <c r="B17" s="64" t="s">
        <v>98</v>
      </c>
      <c r="C17" s="14"/>
      <c r="D17" s="14"/>
      <c r="E17" s="14">
        <v>1350720.52</v>
      </c>
      <c r="F17" s="14">
        <v>2409387.5299999998</v>
      </c>
      <c r="H17" s="36"/>
      <c r="I17" s="36"/>
    </row>
    <row r="18" spans="1:9" x14ac:dyDescent="0.25">
      <c r="A18" s="63">
        <f t="shared" si="0"/>
        <v>12</v>
      </c>
      <c r="B18" s="64" t="s">
        <v>99</v>
      </c>
      <c r="C18" s="65">
        <v>0.05</v>
      </c>
      <c r="D18" s="14">
        <v>36.06</v>
      </c>
      <c r="E18" s="14">
        <f>C18+2063409.28</f>
        <v>2063409.33</v>
      </c>
      <c r="F18" s="14">
        <f>D18+4719578.37</f>
        <v>4719614.43</v>
      </c>
      <c r="H18" s="36"/>
      <c r="I18" s="36"/>
    </row>
    <row r="19" spans="1:9" x14ac:dyDescent="0.25">
      <c r="A19" s="63">
        <f t="shared" si="0"/>
        <v>13</v>
      </c>
      <c r="B19" s="66" t="s">
        <v>100</v>
      </c>
      <c r="C19" s="14">
        <v>61521.18</v>
      </c>
      <c r="D19" s="14">
        <v>152686.07</v>
      </c>
      <c r="E19" s="14">
        <f>C19+3310179.26</f>
        <v>3371700.44</v>
      </c>
      <c r="F19" s="14">
        <f>D19+6379583.85</f>
        <v>6532269.9199999999</v>
      </c>
      <c r="H19" s="36"/>
      <c r="I19" s="36"/>
    </row>
    <row r="20" spans="1:9" x14ac:dyDescent="0.25">
      <c r="A20" s="63">
        <f t="shared" si="0"/>
        <v>14</v>
      </c>
      <c r="B20" s="64" t="s">
        <v>101</v>
      </c>
      <c r="C20" s="14">
        <v>584640</v>
      </c>
      <c r="D20" s="14">
        <v>1159834.31</v>
      </c>
      <c r="E20" s="14">
        <f>C20+6915040</f>
        <v>7499680</v>
      </c>
      <c r="F20" s="14">
        <f>D20+14068056.3</f>
        <v>15227890.610000001</v>
      </c>
      <c r="H20" s="36"/>
      <c r="I20" s="36"/>
    </row>
    <row r="21" spans="1:9" x14ac:dyDescent="0.25">
      <c r="A21" s="63">
        <f t="shared" si="0"/>
        <v>15</v>
      </c>
      <c r="B21" s="64" t="s">
        <v>181</v>
      </c>
      <c r="C21" s="14">
        <v>0</v>
      </c>
      <c r="D21" s="14">
        <v>0</v>
      </c>
      <c r="E21" s="14">
        <v>20160</v>
      </c>
      <c r="F21" s="14">
        <v>34646.9</v>
      </c>
      <c r="H21" s="36"/>
      <c r="I21" s="36"/>
    </row>
    <row r="22" spans="1:9" x14ac:dyDescent="0.25">
      <c r="A22" s="63">
        <f t="shared" si="0"/>
        <v>16</v>
      </c>
      <c r="B22" s="64" t="s">
        <v>164</v>
      </c>
      <c r="C22" s="14">
        <v>0</v>
      </c>
      <c r="D22" s="14">
        <v>0</v>
      </c>
      <c r="E22" s="14">
        <v>3</v>
      </c>
      <c r="F22" s="14">
        <v>132.75</v>
      </c>
      <c r="H22" s="36"/>
      <c r="I22" s="36"/>
    </row>
    <row r="23" spans="1:9" s="98" customFormat="1" x14ac:dyDescent="0.25">
      <c r="A23" s="93">
        <f t="shared" si="0"/>
        <v>17</v>
      </c>
      <c r="B23" s="94" t="s">
        <v>102</v>
      </c>
      <c r="C23" s="95">
        <v>1978200</v>
      </c>
      <c r="D23" s="95">
        <v>3644231.48</v>
      </c>
      <c r="E23" s="95">
        <f>C23+20105030</f>
        <v>22083230</v>
      </c>
      <c r="F23" s="95">
        <f>D23+39482644.97</f>
        <v>43126876.449999996</v>
      </c>
      <c r="G23" s="96"/>
      <c r="H23" s="97"/>
      <c r="I23" s="97"/>
    </row>
    <row r="24" spans="1:9" x14ac:dyDescent="0.25">
      <c r="A24" s="63">
        <f t="shared" si="0"/>
        <v>18</v>
      </c>
      <c r="B24" s="66" t="s">
        <v>103</v>
      </c>
      <c r="C24" s="14">
        <v>0</v>
      </c>
      <c r="D24" s="14">
        <v>0</v>
      </c>
      <c r="E24" s="14">
        <v>0</v>
      </c>
      <c r="F24" s="14">
        <v>0</v>
      </c>
      <c r="H24" s="36"/>
      <c r="I24" s="36"/>
    </row>
    <row r="25" spans="1:9" x14ac:dyDescent="0.25">
      <c r="A25" s="63">
        <f t="shared" si="0"/>
        <v>19</v>
      </c>
      <c r="B25" s="66" t="s">
        <v>104</v>
      </c>
      <c r="C25" s="14">
        <v>806400</v>
      </c>
      <c r="D25" s="14">
        <v>1409742.4</v>
      </c>
      <c r="E25" s="14">
        <f>C25+11052896</f>
        <v>11859296</v>
      </c>
      <c r="F25" s="14">
        <f>D25+20875426.41</f>
        <v>22285168.809999999</v>
      </c>
      <c r="H25" s="36"/>
      <c r="I25" s="36"/>
    </row>
    <row r="26" spans="1:9" x14ac:dyDescent="0.25">
      <c r="A26" s="63">
        <f t="shared" si="0"/>
        <v>20</v>
      </c>
      <c r="B26" s="67" t="s">
        <v>105</v>
      </c>
      <c r="C26" s="14">
        <v>0</v>
      </c>
      <c r="D26" s="14">
        <v>0</v>
      </c>
      <c r="E26" s="14">
        <v>0</v>
      </c>
      <c r="F26" s="14">
        <v>0</v>
      </c>
      <c r="H26" s="36"/>
      <c r="I26" s="36"/>
    </row>
    <row r="27" spans="1:9" x14ac:dyDescent="0.25">
      <c r="A27" s="63">
        <f t="shared" si="0"/>
        <v>21</v>
      </c>
      <c r="B27" s="64" t="s">
        <v>158</v>
      </c>
      <c r="C27" s="14">
        <v>0</v>
      </c>
      <c r="D27" s="14">
        <v>0</v>
      </c>
      <c r="E27" s="14">
        <v>0</v>
      </c>
      <c r="F27" s="14">
        <v>0</v>
      </c>
      <c r="H27" s="36"/>
      <c r="I27" s="36"/>
    </row>
    <row r="28" spans="1:9" x14ac:dyDescent="0.25">
      <c r="A28" s="63">
        <f t="shared" si="0"/>
        <v>22</v>
      </c>
      <c r="B28" s="66" t="s">
        <v>106</v>
      </c>
      <c r="C28" s="14">
        <v>0</v>
      </c>
      <c r="D28" s="14">
        <v>0</v>
      </c>
      <c r="E28" s="14">
        <v>0</v>
      </c>
      <c r="F28" s="14">
        <v>0</v>
      </c>
      <c r="H28" s="36"/>
      <c r="I28" s="36"/>
    </row>
    <row r="29" spans="1:9" x14ac:dyDescent="0.25">
      <c r="A29" s="63">
        <f t="shared" si="0"/>
        <v>23</v>
      </c>
      <c r="B29" s="64" t="s">
        <v>165</v>
      </c>
      <c r="C29" s="14">
        <v>0</v>
      </c>
      <c r="D29" s="14">
        <v>0</v>
      </c>
      <c r="E29" s="14">
        <v>0</v>
      </c>
      <c r="F29" s="14">
        <v>0</v>
      </c>
      <c r="H29" s="36"/>
      <c r="I29" s="36"/>
    </row>
    <row r="30" spans="1:9" x14ac:dyDescent="0.25">
      <c r="A30" s="63">
        <f t="shared" si="0"/>
        <v>24</v>
      </c>
      <c r="B30" s="66" t="s">
        <v>107</v>
      </c>
      <c r="C30" s="14">
        <v>18101</v>
      </c>
      <c r="D30" s="14">
        <v>39577</v>
      </c>
      <c r="E30" s="14">
        <f>C30+71327.6</f>
        <v>89428.6</v>
      </c>
      <c r="F30" s="14">
        <f>D30+153429.96</f>
        <v>193006.96</v>
      </c>
      <c r="H30" s="36"/>
      <c r="I30" s="36"/>
    </row>
    <row r="31" spans="1:9" x14ac:dyDescent="0.25">
      <c r="A31" s="63">
        <f t="shared" si="0"/>
        <v>25</v>
      </c>
      <c r="B31" s="68" t="s">
        <v>108</v>
      </c>
      <c r="C31" s="14">
        <v>0</v>
      </c>
      <c r="D31" s="14">
        <v>0</v>
      </c>
      <c r="E31" s="14">
        <v>0</v>
      </c>
      <c r="F31" s="14">
        <v>0</v>
      </c>
      <c r="H31" s="36"/>
      <c r="I31" s="36"/>
    </row>
    <row r="32" spans="1:9" x14ac:dyDescent="0.25">
      <c r="A32" s="63">
        <f t="shared" si="0"/>
        <v>26</v>
      </c>
      <c r="B32" s="69" t="s">
        <v>109</v>
      </c>
      <c r="C32" s="14"/>
      <c r="D32" s="14"/>
      <c r="E32" s="14">
        <v>54923.5</v>
      </c>
      <c r="F32" s="14">
        <v>125432.6</v>
      </c>
      <c r="H32" s="36"/>
      <c r="I32" s="36"/>
    </row>
    <row r="33" spans="1:9" x14ac:dyDescent="0.25">
      <c r="A33" s="63">
        <f t="shared" si="0"/>
        <v>27</v>
      </c>
      <c r="B33" s="64" t="s">
        <v>110</v>
      </c>
      <c r="C33" s="14">
        <v>745920</v>
      </c>
      <c r="D33" s="14">
        <v>1308775.98</v>
      </c>
      <c r="E33" s="14">
        <f>C33+12785792</f>
        <v>13531712</v>
      </c>
      <c r="F33" s="14">
        <f>D33+24134830.06</f>
        <v>25443606.039999999</v>
      </c>
      <c r="H33" s="36"/>
      <c r="I33" s="36"/>
    </row>
    <row r="34" spans="1:9" x14ac:dyDescent="0.25">
      <c r="A34" s="63">
        <f t="shared" si="0"/>
        <v>28</v>
      </c>
      <c r="B34" s="64" t="s">
        <v>153</v>
      </c>
      <c r="C34" s="14">
        <v>0</v>
      </c>
      <c r="D34" s="14">
        <v>0</v>
      </c>
      <c r="E34" s="14">
        <v>0</v>
      </c>
      <c r="F34" s="14">
        <v>0</v>
      </c>
      <c r="H34" s="36"/>
      <c r="I34" s="36"/>
    </row>
    <row r="35" spans="1:9" x14ac:dyDescent="0.25">
      <c r="A35" s="63">
        <f t="shared" si="0"/>
        <v>29</v>
      </c>
      <c r="B35" s="64" t="s">
        <v>111</v>
      </c>
      <c r="C35" s="14">
        <v>241920</v>
      </c>
      <c r="D35" s="14">
        <v>428558.59</v>
      </c>
      <c r="E35" s="14">
        <f>C35+3152098</f>
        <v>3394018</v>
      </c>
      <c r="F35" s="14">
        <f>D35+5986867.53</f>
        <v>6415426.1200000001</v>
      </c>
      <c r="H35" s="36"/>
      <c r="I35" s="36"/>
    </row>
    <row r="36" spans="1:9" x14ac:dyDescent="0.25">
      <c r="A36" s="63">
        <f t="shared" si="0"/>
        <v>30</v>
      </c>
      <c r="B36" s="64" t="s">
        <v>161</v>
      </c>
      <c r="C36" s="14">
        <v>0</v>
      </c>
      <c r="D36" s="14">
        <v>0</v>
      </c>
      <c r="E36" s="14">
        <v>0</v>
      </c>
      <c r="F36" s="14">
        <v>0</v>
      </c>
      <c r="H36" s="36"/>
      <c r="I36" s="36"/>
    </row>
    <row r="37" spans="1:9" x14ac:dyDescent="0.25">
      <c r="A37" s="63">
        <f t="shared" si="0"/>
        <v>31</v>
      </c>
      <c r="B37" s="69" t="s">
        <v>112</v>
      </c>
      <c r="C37" s="91">
        <v>4.0999999999999996</v>
      </c>
      <c r="D37" s="91">
        <v>1.2</v>
      </c>
      <c r="E37" s="14">
        <f>C37+525</f>
        <v>529.1</v>
      </c>
      <c r="F37" s="14">
        <f>D37+956.7</f>
        <v>957.90000000000009</v>
      </c>
      <c r="H37" s="36"/>
      <c r="I37" s="36"/>
    </row>
    <row r="38" spans="1:9" x14ac:dyDescent="0.25">
      <c r="A38" s="63">
        <f t="shared" si="0"/>
        <v>32</v>
      </c>
      <c r="B38" s="66" t="s">
        <v>113</v>
      </c>
      <c r="C38" s="14">
        <v>0</v>
      </c>
      <c r="D38" s="14">
        <v>0</v>
      </c>
      <c r="E38" s="14">
        <v>0</v>
      </c>
      <c r="F38" s="14">
        <v>0</v>
      </c>
      <c r="H38" s="36"/>
      <c r="I38" s="36"/>
    </row>
    <row r="39" spans="1:9" x14ac:dyDescent="0.25">
      <c r="A39" s="63">
        <f t="shared" si="0"/>
        <v>33</v>
      </c>
      <c r="B39" s="64" t="s">
        <v>159</v>
      </c>
      <c r="C39" s="14">
        <v>0</v>
      </c>
      <c r="D39" s="14">
        <v>0</v>
      </c>
      <c r="E39" s="14">
        <v>0</v>
      </c>
      <c r="F39" s="14">
        <v>0</v>
      </c>
      <c r="H39" s="36"/>
      <c r="I39" s="36"/>
    </row>
    <row r="40" spans="1:9" s="98" customFormat="1" x14ac:dyDescent="0.25">
      <c r="A40" s="93">
        <f t="shared" si="0"/>
        <v>34</v>
      </c>
      <c r="B40" s="94" t="s">
        <v>114</v>
      </c>
      <c r="C40" s="95">
        <v>27546560</v>
      </c>
      <c r="D40" s="95">
        <v>50414412.520000003</v>
      </c>
      <c r="E40" s="95">
        <f>C40+283677860</f>
        <v>311224420</v>
      </c>
      <c r="F40" s="95">
        <f>D40+543983781.08</f>
        <v>594398193.60000002</v>
      </c>
      <c r="G40" s="96"/>
      <c r="H40" s="97"/>
      <c r="I40" s="97"/>
    </row>
    <row r="41" spans="1:9" s="98" customFormat="1" x14ac:dyDescent="0.25">
      <c r="A41" s="93">
        <f t="shared" si="0"/>
        <v>35</v>
      </c>
      <c r="B41" s="94" t="s">
        <v>115</v>
      </c>
      <c r="C41" s="95">
        <v>1733220</v>
      </c>
      <c r="D41" s="95">
        <v>3148406.7399999998</v>
      </c>
      <c r="E41" s="95">
        <f>C41+44258040</f>
        <v>45991260</v>
      </c>
      <c r="F41" s="95">
        <f>D41+86346114.1</f>
        <v>89494520.839999989</v>
      </c>
      <c r="G41" s="96"/>
      <c r="H41" s="97"/>
      <c r="I41" s="97"/>
    </row>
    <row r="42" spans="1:9" x14ac:dyDescent="0.25">
      <c r="A42" s="63">
        <f t="shared" si="0"/>
        <v>36</v>
      </c>
      <c r="B42" s="64" t="s">
        <v>160</v>
      </c>
      <c r="C42" s="14">
        <v>20160</v>
      </c>
      <c r="D42" s="14">
        <v>39462</v>
      </c>
      <c r="E42" s="14">
        <f>C42+1128960</f>
        <v>1149120</v>
      </c>
      <c r="F42" s="14">
        <f>D42+2242909.68</f>
        <v>2282371.6800000002</v>
      </c>
      <c r="H42" s="36"/>
      <c r="I42" s="36"/>
    </row>
    <row r="43" spans="1:9" s="98" customFormat="1" x14ac:dyDescent="0.25">
      <c r="A43" s="93">
        <f t="shared" si="0"/>
        <v>37</v>
      </c>
      <c r="B43" s="94" t="s">
        <v>116</v>
      </c>
      <c r="C43" s="95">
        <v>2479680</v>
      </c>
      <c r="D43" s="95">
        <v>4495388.33</v>
      </c>
      <c r="E43" s="95">
        <f>C43+35141400</f>
        <v>37621080</v>
      </c>
      <c r="F43" s="95">
        <f>D43+67093633.32</f>
        <v>71589021.650000006</v>
      </c>
      <c r="G43" s="96"/>
      <c r="H43" s="97"/>
      <c r="I43" s="97"/>
    </row>
    <row r="44" spans="1:9" x14ac:dyDescent="0.25">
      <c r="A44" s="63">
        <f t="shared" si="0"/>
        <v>38</v>
      </c>
      <c r="B44" s="68" t="s">
        <v>117</v>
      </c>
      <c r="C44" s="14"/>
      <c r="D44" s="14"/>
      <c r="E44" s="14">
        <v>443520</v>
      </c>
      <c r="F44" s="14">
        <v>831415.65</v>
      </c>
      <c r="H44" s="36"/>
      <c r="I44" s="36"/>
    </row>
    <row r="45" spans="1:9" s="98" customFormat="1" x14ac:dyDescent="0.25">
      <c r="A45" s="93">
        <f t="shared" si="0"/>
        <v>39</v>
      </c>
      <c r="B45" s="94" t="s">
        <v>118</v>
      </c>
      <c r="C45" s="95">
        <v>876960</v>
      </c>
      <c r="D45" s="95">
        <v>1543439.02</v>
      </c>
      <c r="E45" s="95">
        <f>C45+8830920</f>
        <v>9707880</v>
      </c>
      <c r="F45" s="95">
        <f>D45+16985733.96</f>
        <v>18529172.98</v>
      </c>
      <c r="G45" s="96"/>
      <c r="H45" s="97"/>
      <c r="I45" s="97"/>
    </row>
    <row r="46" spans="1:9" s="98" customFormat="1" x14ac:dyDescent="0.25">
      <c r="A46" s="93">
        <f t="shared" si="0"/>
        <v>40</v>
      </c>
      <c r="B46" s="94" t="s">
        <v>119</v>
      </c>
      <c r="C46" s="95">
        <v>3205368</v>
      </c>
      <c r="D46" s="95">
        <v>5818804.0700000003</v>
      </c>
      <c r="E46" s="95">
        <f>C46+43462080</f>
        <v>46667448</v>
      </c>
      <c r="F46" s="95">
        <f>D46+82313461.8</f>
        <v>88132265.870000005</v>
      </c>
      <c r="G46" s="96"/>
      <c r="H46" s="97"/>
      <c r="I46" s="97"/>
    </row>
    <row r="47" spans="1:9" s="98" customFormat="1" x14ac:dyDescent="0.25">
      <c r="A47" s="93">
        <f t="shared" si="0"/>
        <v>41</v>
      </c>
      <c r="B47" s="94" t="s">
        <v>120</v>
      </c>
      <c r="C47" s="95">
        <v>0</v>
      </c>
      <c r="D47" s="95">
        <v>0</v>
      </c>
      <c r="E47" s="95">
        <v>362880</v>
      </c>
      <c r="F47" s="95">
        <v>751544.64</v>
      </c>
      <c r="G47" s="96"/>
      <c r="H47" s="97"/>
      <c r="I47" s="97"/>
    </row>
    <row r="48" spans="1:9" s="98" customFormat="1" x14ac:dyDescent="0.25">
      <c r="A48" s="93">
        <f t="shared" si="0"/>
        <v>42</v>
      </c>
      <c r="B48" s="94" t="s">
        <v>121</v>
      </c>
      <c r="C48" s="95">
        <v>0</v>
      </c>
      <c r="D48" s="95">
        <v>0</v>
      </c>
      <c r="E48" s="95">
        <v>0</v>
      </c>
      <c r="F48" s="95">
        <v>0</v>
      </c>
      <c r="G48" s="96"/>
      <c r="H48" s="97"/>
      <c r="I48" s="97"/>
    </row>
    <row r="49" spans="1:9" x14ac:dyDescent="0.25">
      <c r="A49" s="63">
        <f t="shared" si="0"/>
        <v>43</v>
      </c>
      <c r="B49" s="64" t="s">
        <v>122</v>
      </c>
      <c r="C49" s="14">
        <v>362880</v>
      </c>
      <c r="D49" s="14">
        <v>636170.28</v>
      </c>
      <c r="E49" s="14">
        <f>C49+2822400</f>
        <v>3185280</v>
      </c>
      <c r="F49" s="14">
        <f>D49+5308315.7</f>
        <v>5944485.9800000004</v>
      </c>
      <c r="H49" s="36"/>
      <c r="I49" s="36"/>
    </row>
    <row r="50" spans="1:9" x14ac:dyDescent="0.25">
      <c r="A50" s="63">
        <f t="shared" si="0"/>
        <v>44</v>
      </c>
      <c r="B50" s="64" t="s">
        <v>123</v>
      </c>
      <c r="C50" s="14">
        <v>60480</v>
      </c>
      <c r="D50" s="14">
        <v>107001.22</v>
      </c>
      <c r="E50" s="14">
        <f>C50+1915200</f>
        <v>1975680</v>
      </c>
      <c r="F50" s="14">
        <f>D50+3559527.99</f>
        <v>3666529.2100000004</v>
      </c>
      <c r="H50" s="36"/>
      <c r="I50" s="36"/>
    </row>
    <row r="51" spans="1:9" x14ac:dyDescent="0.25">
      <c r="A51" s="63">
        <f t="shared" si="0"/>
        <v>45</v>
      </c>
      <c r="B51" s="66" t="s">
        <v>124</v>
      </c>
      <c r="C51" s="14"/>
      <c r="D51" s="14"/>
      <c r="E51" s="14">
        <v>322560</v>
      </c>
      <c r="F51" s="14">
        <v>554165.6</v>
      </c>
      <c r="H51" s="36"/>
      <c r="I51" s="36"/>
    </row>
    <row r="52" spans="1:9" s="98" customFormat="1" x14ac:dyDescent="0.25">
      <c r="A52" s="93">
        <f t="shared" si="0"/>
        <v>46</v>
      </c>
      <c r="B52" s="94" t="s">
        <v>125</v>
      </c>
      <c r="C52" s="95">
        <v>102060</v>
      </c>
      <c r="D52" s="95">
        <v>203299.15</v>
      </c>
      <c r="E52" s="95">
        <f>C52+1599482</f>
        <v>1701542</v>
      </c>
      <c r="F52" s="95">
        <f>D52+3435040.1</f>
        <v>3638339.25</v>
      </c>
      <c r="G52" s="96"/>
      <c r="H52" s="97"/>
      <c r="I52" s="97"/>
    </row>
    <row r="53" spans="1:9" s="98" customFormat="1" x14ac:dyDescent="0.25">
      <c r="A53" s="93">
        <f t="shared" si="0"/>
        <v>47</v>
      </c>
      <c r="B53" s="94" t="s">
        <v>126</v>
      </c>
      <c r="C53" s="95">
        <v>282240</v>
      </c>
      <c r="D53" s="95">
        <v>552122.42999999993</v>
      </c>
      <c r="E53" s="95">
        <f>C53+1754285.28</f>
        <v>2036525.28</v>
      </c>
      <c r="F53" s="95">
        <f>D53+3593016.62</f>
        <v>4145139.05</v>
      </c>
      <c r="G53" s="96"/>
      <c r="H53" s="97"/>
      <c r="I53" s="97"/>
    </row>
    <row r="54" spans="1:9" x14ac:dyDescent="0.25">
      <c r="A54" s="63">
        <f t="shared" si="0"/>
        <v>48</v>
      </c>
      <c r="B54" s="70" t="s">
        <v>162</v>
      </c>
      <c r="C54" s="14">
        <v>0</v>
      </c>
      <c r="D54" s="14">
        <v>0</v>
      </c>
      <c r="E54" s="14">
        <v>0</v>
      </c>
      <c r="F54" s="14">
        <v>0</v>
      </c>
      <c r="H54" s="36"/>
      <c r="I54" s="36"/>
    </row>
    <row r="55" spans="1:9" x14ac:dyDescent="0.25">
      <c r="A55" s="63">
        <f t="shared" si="0"/>
        <v>49</v>
      </c>
      <c r="B55" s="66" t="s">
        <v>127</v>
      </c>
      <c r="C55" s="14">
        <v>0</v>
      </c>
      <c r="D55" s="14">
        <v>0</v>
      </c>
      <c r="E55" s="14">
        <v>260</v>
      </c>
      <c r="F55" s="14">
        <v>3370</v>
      </c>
      <c r="H55" s="36"/>
      <c r="I55" s="36"/>
    </row>
    <row r="56" spans="1:9" s="98" customFormat="1" x14ac:dyDescent="0.25">
      <c r="A56" s="93">
        <f t="shared" si="0"/>
        <v>50</v>
      </c>
      <c r="B56" s="94" t="s">
        <v>128</v>
      </c>
      <c r="C56" s="95">
        <v>1270800</v>
      </c>
      <c r="D56" s="95">
        <v>2406356.4500000002</v>
      </c>
      <c r="E56" s="95">
        <f>C56+9344520</f>
        <v>10615320</v>
      </c>
      <c r="F56" s="95">
        <f>D56+19324469.18</f>
        <v>21730825.629999999</v>
      </c>
      <c r="G56" s="96"/>
      <c r="H56" s="97"/>
      <c r="I56" s="97"/>
    </row>
    <row r="57" spans="1:9" x14ac:dyDescent="0.25">
      <c r="A57" s="63">
        <f t="shared" si="0"/>
        <v>51</v>
      </c>
      <c r="B57" s="66" t="s">
        <v>129</v>
      </c>
      <c r="C57" s="14">
        <v>0</v>
      </c>
      <c r="D57" s="14">
        <v>0</v>
      </c>
      <c r="E57" s="14">
        <v>0</v>
      </c>
      <c r="F57" s="14">
        <v>0</v>
      </c>
      <c r="H57" s="36"/>
      <c r="I57" s="36"/>
    </row>
    <row r="58" spans="1:9" x14ac:dyDescent="0.25">
      <c r="A58" s="63">
        <f t="shared" si="0"/>
        <v>52</v>
      </c>
      <c r="B58" s="64" t="s">
        <v>163</v>
      </c>
      <c r="C58" s="14">
        <v>0</v>
      </c>
      <c r="D58" s="14">
        <v>0</v>
      </c>
      <c r="E58" s="14">
        <v>0</v>
      </c>
      <c r="F58" s="14">
        <v>0</v>
      </c>
      <c r="H58" s="36"/>
      <c r="I58" s="36"/>
    </row>
    <row r="59" spans="1:9" s="98" customFormat="1" x14ac:dyDescent="0.25">
      <c r="A59" s="93">
        <f t="shared" si="0"/>
        <v>53</v>
      </c>
      <c r="B59" s="94" t="s">
        <v>130</v>
      </c>
      <c r="C59" s="95">
        <v>3366720</v>
      </c>
      <c r="D59" s="95">
        <v>6337215.4900000012</v>
      </c>
      <c r="E59" s="95">
        <f>C59+33423200</f>
        <v>36789920</v>
      </c>
      <c r="F59" s="95">
        <f>D59+66546990.53</f>
        <v>72884206.019999996</v>
      </c>
      <c r="G59" s="96"/>
      <c r="H59" s="97"/>
      <c r="I59" s="97"/>
    </row>
    <row r="60" spans="1:9" s="98" customFormat="1" x14ac:dyDescent="0.25">
      <c r="A60" s="93">
        <f t="shared" si="0"/>
        <v>54</v>
      </c>
      <c r="B60" s="94" t="s">
        <v>131</v>
      </c>
      <c r="C60" s="95"/>
      <c r="D60" s="95"/>
      <c r="E60" s="95">
        <v>10781555</v>
      </c>
      <c r="F60" s="95">
        <v>21902553.75</v>
      </c>
      <c r="G60" s="96"/>
      <c r="H60" s="97"/>
      <c r="I60" s="97"/>
    </row>
    <row r="61" spans="1:9" s="98" customFormat="1" x14ac:dyDescent="0.25">
      <c r="A61" s="93">
        <f t="shared" si="0"/>
        <v>55</v>
      </c>
      <c r="B61" s="94" t="s">
        <v>132</v>
      </c>
      <c r="C61" s="95"/>
      <c r="D61" s="95"/>
      <c r="E61" s="95">
        <v>6108480</v>
      </c>
      <c r="F61" s="95">
        <v>12190588.970000001</v>
      </c>
      <c r="G61" s="96"/>
      <c r="H61" s="97"/>
      <c r="I61" s="97"/>
    </row>
    <row r="62" spans="1:9" s="98" customFormat="1" x14ac:dyDescent="0.25">
      <c r="A62" s="93">
        <f t="shared" si="0"/>
        <v>56</v>
      </c>
      <c r="B62" s="94" t="s">
        <v>133</v>
      </c>
      <c r="C62" s="95">
        <v>1094760</v>
      </c>
      <c r="D62" s="95">
        <v>2256534.2400000002</v>
      </c>
      <c r="E62" s="95">
        <f>C62+12166487.41</f>
        <v>13261247.41</v>
      </c>
      <c r="F62" s="95">
        <f>D62+25642142.24</f>
        <v>27898676.479999997</v>
      </c>
      <c r="G62" s="96"/>
      <c r="H62" s="97"/>
      <c r="I62" s="97"/>
    </row>
    <row r="63" spans="1:9" s="98" customFormat="1" x14ac:dyDescent="0.25">
      <c r="A63" s="93">
        <f t="shared" si="0"/>
        <v>57</v>
      </c>
      <c r="B63" s="94" t="s">
        <v>134</v>
      </c>
      <c r="C63" s="95">
        <v>1371780</v>
      </c>
      <c r="D63" s="95">
        <v>2731748.6799999997</v>
      </c>
      <c r="E63" s="95">
        <f>C63+17371440</f>
        <v>18743220</v>
      </c>
      <c r="F63" s="95">
        <f>D63+35746519.16</f>
        <v>38478267.839999996</v>
      </c>
      <c r="G63" s="96"/>
      <c r="H63" s="97"/>
      <c r="I63" s="97"/>
    </row>
    <row r="64" spans="1:9" x14ac:dyDescent="0.25">
      <c r="A64" s="63">
        <f t="shared" si="0"/>
        <v>58</v>
      </c>
      <c r="B64" s="66" t="s">
        <v>135</v>
      </c>
      <c r="C64" s="14">
        <v>443520</v>
      </c>
      <c r="D64" s="14">
        <v>826845.28</v>
      </c>
      <c r="E64" s="14">
        <f>C64+3669120</f>
        <v>4112640</v>
      </c>
      <c r="F64" s="14">
        <f>D64+7369946.84</f>
        <v>8196792.1200000001</v>
      </c>
      <c r="H64" s="36"/>
      <c r="I64" s="36"/>
    </row>
    <row r="65" spans="1:9" x14ac:dyDescent="0.25">
      <c r="A65" s="63">
        <f t="shared" si="0"/>
        <v>59</v>
      </c>
      <c r="B65" s="64" t="s">
        <v>136</v>
      </c>
      <c r="C65" s="14">
        <v>302400</v>
      </c>
      <c r="D65" s="14">
        <v>509562.14</v>
      </c>
      <c r="E65" s="14">
        <f>C65+4818240</f>
        <v>5120640</v>
      </c>
      <c r="F65" s="14">
        <f>D65+8972095.55</f>
        <v>9481657.6900000013</v>
      </c>
      <c r="H65" s="36"/>
      <c r="I65" s="36"/>
    </row>
    <row r="66" spans="1:9" s="98" customFormat="1" x14ac:dyDescent="0.25">
      <c r="A66" s="93">
        <f t="shared" si="0"/>
        <v>60</v>
      </c>
      <c r="B66" s="94" t="s">
        <v>137</v>
      </c>
      <c r="C66" s="95">
        <v>745920</v>
      </c>
      <c r="D66" s="95">
        <v>1402477.56</v>
      </c>
      <c r="E66" s="95">
        <f>C66+7076160</f>
        <v>7822080</v>
      </c>
      <c r="F66" s="95">
        <f>D66+14144364.23</f>
        <v>15546841.790000001</v>
      </c>
      <c r="G66" s="96"/>
      <c r="H66" s="97"/>
      <c r="I66" s="97"/>
    </row>
    <row r="67" spans="1:9" s="98" customFormat="1" x14ac:dyDescent="0.25">
      <c r="A67" s="93">
        <f t="shared" si="0"/>
        <v>61</v>
      </c>
      <c r="B67" s="100" t="s">
        <v>138</v>
      </c>
      <c r="C67" s="95">
        <v>0</v>
      </c>
      <c r="D67" s="95">
        <v>0</v>
      </c>
      <c r="E67" s="95">
        <v>0</v>
      </c>
      <c r="F67" s="95">
        <v>0</v>
      </c>
      <c r="G67" s="96"/>
      <c r="H67" s="97"/>
      <c r="I67" s="97"/>
    </row>
    <row r="68" spans="1:9" s="98" customFormat="1" x14ac:dyDescent="0.25">
      <c r="A68" s="93">
        <f t="shared" si="0"/>
        <v>62</v>
      </c>
      <c r="B68" s="94" t="s">
        <v>139</v>
      </c>
      <c r="C68" s="95">
        <v>826560</v>
      </c>
      <c r="D68" s="95">
        <v>1531101.9200000002</v>
      </c>
      <c r="E68" s="95">
        <f>C68+8613180</f>
        <v>9439740</v>
      </c>
      <c r="F68" s="95">
        <f>D68+17735351.31</f>
        <v>19266453.23</v>
      </c>
      <c r="G68" s="96"/>
      <c r="H68" s="97"/>
      <c r="I68" s="97"/>
    </row>
    <row r="69" spans="1:9" s="98" customFormat="1" x14ac:dyDescent="0.25">
      <c r="A69" s="93">
        <f t="shared" si="0"/>
        <v>63</v>
      </c>
      <c r="B69" s="94" t="s">
        <v>140</v>
      </c>
      <c r="C69" s="95">
        <v>1008000</v>
      </c>
      <c r="D69" s="95">
        <v>2036965.3199999998</v>
      </c>
      <c r="E69" s="95">
        <f>C69+12542016</f>
        <v>13550016</v>
      </c>
      <c r="F69" s="95">
        <f>D69+26473883.17</f>
        <v>28510848.490000002</v>
      </c>
      <c r="G69" s="96"/>
      <c r="H69" s="97"/>
      <c r="I69" s="97"/>
    </row>
    <row r="70" spans="1:9" s="98" customFormat="1" x14ac:dyDescent="0.25">
      <c r="A70" s="93">
        <f t="shared" si="0"/>
        <v>64</v>
      </c>
      <c r="B70" s="99" t="s">
        <v>141</v>
      </c>
      <c r="C70" s="95">
        <v>141120</v>
      </c>
      <c r="D70" s="95">
        <v>271603.69999999995</v>
      </c>
      <c r="E70" s="95">
        <f>C70+3024000</f>
        <v>3165120</v>
      </c>
      <c r="F70" s="95">
        <f>D70+6174565.98</f>
        <v>6446169.6800000006</v>
      </c>
      <c r="G70" s="96"/>
      <c r="H70" s="97"/>
      <c r="I70" s="97"/>
    </row>
    <row r="71" spans="1:9" s="98" customFormat="1" x14ac:dyDescent="0.25">
      <c r="A71" s="93">
        <f t="shared" si="0"/>
        <v>65</v>
      </c>
      <c r="B71" s="94" t="s">
        <v>142</v>
      </c>
      <c r="C71" s="95">
        <v>483840</v>
      </c>
      <c r="D71" s="95">
        <v>836232.76</v>
      </c>
      <c r="E71" s="95">
        <f>C71+4602330</f>
        <v>5086170</v>
      </c>
      <c r="F71" s="95">
        <f>D71+7982176.5</f>
        <v>8818409.2599999998</v>
      </c>
      <c r="G71" s="96"/>
      <c r="H71" s="97"/>
      <c r="I71" s="97"/>
    </row>
    <row r="72" spans="1:9" s="98" customFormat="1" x14ac:dyDescent="0.25">
      <c r="A72" s="93">
        <f t="shared" si="0"/>
        <v>66</v>
      </c>
      <c r="B72" s="101" t="s">
        <v>143</v>
      </c>
      <c r="C72" s="95">
        <v>0</v>
      </c>
      <c r="D72" s="95">
        <v>0</v>
      </c>
      <c r="E72" s="95">
        <v>0</v>
      </c>
      <c r="F72" s="95">
        <v>0</v>
      </c>
      <c r="G72" s="96"/>
      <c r="H72" s="97"/>
      <c r="I72" s="97"/>
    </row>
    <row r="73" spans="1:9" s="98" customFormat="1" x14ac:dyDescent="0.25">
      <c r="A73" s="93">
        <f>A72+1</f>
        <v>67</v>
      </c>
      <c r="B73" s="100" t="s">
        <v>144</v>
      </c>
      <c r="C73" s="95">
        <v>302400</v>
      </c>
      <c r="D73" s="95">
        <v>569680.26</v>
      </c>
      <c r="E73" s="95">
        <f>C73+2600640</f>
        <v>2903040</v>
      </c>
      <c r="F73" s="95">
        <f>D73+5296683.79</f>
        <v>5866364.0499999998</v>
      </c>
      <c r="G73" s="96"/>
      <c r="H73" s="97"/>
      <c r="I73" s="97"/>
    </row>
    <row r="74" spans="1:9" s="98" customFormat="1" x14ac:dyDescent="0.25">
      <c r="A74" s="93">
        <f>A73+1</f>
        <v>68</v>
      </c>
      <c r="B74" s="100" t="s">
        <v>145</v>
      </c>
      <c r="C74" s="95">
        <v>302400</v>
      </c>
      <c r="D74" s="95">
        <v>566949.6</v>
      </c>
      <c r="E74" s="95">
        <f>C74+1350720</f>
        <v>1653120</v>
      </c>
      <c r="F74" s="95">
        <f>D74+2534114.52</f>
        <v>3101064.12</v>
      </c>
      <c r="G74" s="96"/>
      <c r="H74" s="97"/>
      <c r="I74" s="97"/>
    </row>
    <row r="75" spans="1:9" s="98" customFormat="1" x14ac:dyDescent="0.25">
      <c r="A75" s="93">
        <f>A74+1</f>
        <v>69</v>
      </c>
      <c r="B75" s="100" t="s">
        <v>174</v>
      </c>
      <c r="C75" s="95">
        <v>0</v>
      </c>
      <c r="D75" s="95">
        <v>0</v>
      </c>
      <c r="E75" s="95">
        <v>342720</v>
      </c>
      <c r="F75" s="95">
        <v>694653.12</v>
      </c>
      <c r="G75" s="96"/>
      <c r="H75" s="97"/>
      <c r="I75" s="97"/>
    </row>
    <row r="76" spans="1:9" s="98" customFormat="1" x14ac:dyDescent="0.25">
      <c r="A76" s="93">
        <f>A75+1</f>
        <v>70</v>
      </c>
      <c r="B76" s="100" t="s">
        <v>146</v>
      </c>
      <c r="C76" s="95">
        <v>0</v>
      </c>
      <c r="D76" s="95">
        <v>0</v>
      </c>
      <c r="E76" s="95">
        <v>141120</v>
      </c>
      <c r="F76" s="95">
        <v>230749.54</v>
      </c>
      <c r="G76" s="96"/>
      <c r="H76" s="97"/>
      <c r="I76" s="97"/>
    </row>
    <row r="77" spans="1:9" s="98" customFormat="1" x14ac:dyDescent="0.25">
      <c r="A77" s="93">
        <f>A76+1</f>
        <v>71</v>
      </c>
      <c r="B77" s="99" t="s">
        <v>147</v>
      </c>
      <c r="C77" s="95">
        <v>36612</v>
      </c>
      <c r="D77" s="95">
        <v>71759.520000000004</v>
      </c>
      <c r="E77" s="95">
        <f>C77+20856330</f>
        <v>20892942</v>
      </c>
      <c r="F77" s="95">
        <f>D77+39795218.11</f>
        <v>39866977.630000003</v>
      </c>
      <c r="G77" s="96"/>
      <c r="H77" s="97"/>
      <c r="I77" s="97"/>
    </row>
    <row r="78" spans="1:9" ht="6.95" customHeight="1" x14ac:dyDescent="0.25">
      <c r="A78" s="63"/>
      <c r="B78" s="68"/>
      <c r="C78" s="14"/>
      <c r="D78" s="14"/>
      <c r="E78" s="71"/>
      <c r="F78" s="71"/>
    </row>
    <row r="79" spans="1:9" x14ac:dyDescent="0.25">
      <c r="A79" s="72"/>
      <c r="B79" s="73" t="s">
        <v>149</v>
      </c>
      <c r="C79" s="74">
        <f>SUM(C7:C78)</f>
        <v>125032237.64999999</v>
      </c>
      <c r="D79" s="74">
        <f>SUM(D7:D78)</f>
        <v>230194109.16999999</v>
      </c>
      <c r="E79" s="74">
        <f>SUM(E7:E78)</f>
        <v>1699400851.9000001</v>
      </c>
      <c r="F79" s="74">
        <f>SUM(F7:F78)</f>
        <v>3257101571.0199995</v>
      </c>
    </row>
    <row r="80" spans="1:9" x14ac:dyDescent="0.25">
      <c r="A80" s="27" t="s">
        <v>171</v>
      </c>
      <c r="B80" s="29"/>
      <c r="C80" s="75"/>
      <c r="D80" s="75"/>
      <c r="E80" s="75"/>
      <c r="F80" s="75"/>
    </row>
    <row r="81" spans="3:6" x14ac:dyDescent="0.25">
      <c r="C81" s="35"/>
      <c r="D81" s="35"/>
      <c r="E81" s="35"/>
      <c r="F81" s="35"/>
    </row>
    <row r="82" spans="3:6" x14ac:dyDescent="0.25">
      <c r="E82" s="36"/>
      <c r="F82" s="36"/>
    </row>
    <row r="83" spans="3:6" x14ac:dyDescent="0.25">
      <c r="F83" s="36"/>
    </row>
    <row r="84" spans="3:6" x14ac:dyDescent="0.25">
      <c r="F84" s="36"/>
    </row>
  </sheetData>
  <mergeCells count="7">
    <mergeCell ref="A1:F1"/>
    <mergeCell ref="A2:F2"/>
    <mergeCell ref="A3:F3"/>
    <mergeCell ref="A4:A5"/>
    <mergeCell ref="B4:B5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5984-846F-4B5D-A996-10CC9A77C497}">
  <dimension ref="B3:N28"/>
  <sheetViews>
    <sheetView workbookViewId="0">
      <selection activeCell="C26" sqref="C26:N26"/>
    </sheetView>
  </sheetViews>
  <sheetFormatPr defaultColWidth="10.42578125" defaultRowHeight="13.5" x14ac:dyDescent="0.25"/>
  <cols>
    <col min="1" max="16384" width="10.42578125" style="1"/>
  </cols>
  <sheetData>
    <row r="3" spans="2:14" ht="14.25" thickBot="1" x14ac:dyDescent="0.3">
      <c r="B3" s="55" t="s">
        <v>186</v>
      </c>
    </row>
    <row r="4" spans="2:14" ht="13.5" customHeight="1" thickBot="1" x14ac:dyDescent="0.3">
      <c r="B4" s="76" t="s">
        <v>0</v>
      </c>
      <c r="C4" s="117" t="s">
        <v>4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</row>
    <row r="5" spans="2:14" ht="14.25" thickBot="1" x14ac:dyDescent="0.3">
      <c r="B5" s="77" t="s">
        <v>1</v>
      </c>
      <c r="C5" s="78" t="s">
        <v>168</v>
      </c>
      <c r="D5" s="78" t="s">
        <v>170</v>
      </c>
      <c r="E5" s="78" t="s">
        <v>173</v>
      </c>
      <c r="F5" s="78" t="s">
        <v>175</v>
      </c>
      <c r="G5" s="78" t="s">
        <v>176</v>
      </c>
      <c r="H5" s="78" t="s">
        <v>177</v>
      </c>
      <c r="I5" s="78" t="s">
        <v>178</v>
      </c>
      <c r="J5" s="78" t="s">
        <v>179</v>
      </c>
      <c r="K5" s="78" t="s">
        <v>180</v>
      </c>
      <c r="L5" s="78" t="s">
        <v>182</v>
      </c>
      <c r="M5" s="78" t="s">
        <v>183</v>
      </c>
      <c r="N5" s="78" t="s">
        <v>185</v>
      </c>
    </row>
    <row r="6" spans="2:14" ht="14.25" thickBot="1" x14ac:dyDescent="0.3">
      <c r="B6" s="79">
        <v>2</v>
      </c>
      <c r="C6" s="80">
        <v>181.7</v>
      </c>
      <c r="D6" s="80">
        <v>181.6</v>
      </c>
      <c r="E6" s="80">
        <v>181.2</v>
      </c>
      <c r="F6" s="80">
        <v>181.2</v>
      </c>
      <c r="G6" s="80">
        <v>181.7</v>
      </c>
      <c r="H6" s="80">
        <v>181.8</v>
      </c>
      <c r="I6" s="80">
        <v>182</v>
      </c>
      <c r="J6" s="80">
        <v>182.2</v>
      </c>
      <c r="K6" s="80">
        <v>182.4</v>
      </c>
      <c r="L6" s="80">
        <v>182.9</v>
      </c>
      <c r="M6" s="80">
        <v>183.2</v>
      </c>
      <c r="N6" s="80">
        <v>183.4</v>
      </c>
    </row>
    <row r="7" spans="2:14" ht="14.25" thickBot="1" x14ac:dyDescent="0.3">
      <c r="B7" s="79">
        <v>5</v>
      </c>
      <c r="C7" s="80">
        <v>182.6</v>
      </c>
      <c r="D7" s="80">
        <v>182.5</v>
      </c>
      <c r="E7" s="80">
        <v>182.5</v>
      </c>
      <c r="F7" s="80">
        <v>182.8</v>
      </c>
      <c r="G7" s="80">
        <v>182.8</v>
      </c>
      <c r="H7" s="80">
        <v>183</v>
      </c>
      <c r="I7" s="80">
        <v>183.1</v>
      </c>
      <c r="J7" s="80">
        <v>183.4</v>
      </c>
      <c r="K7" s="80">
        <v>183.6</v>
      </c>
      <c r="L7" s="80">
        <v>184.1</v>
      </c>
      <c r="M7" s="80">
        <v>184.4</v>
      </c>
      <c r="N7" s="80">
        <v>184.6</v>
      </c>
    </row>
    <row r="8" spans="2:14" ht="14.25" thickBot="1" x14ac:dyDescent="0.3">
      <c r="B8" s="79">
        <v>6</v>
      </c>
      <c r="C8" s="80">
        <v>184.7</v>
      </c>
      <c r="D8" s="80">
        <v>184.7</v>
      </c>
      <c r="E8" s="80">
        <v>184.7</v>
      </c>
      <c r="F8" s="80">
        <v>185</v>
      </c>
      <c r="G8" s="80">
        <v>185</v>
      </c>
      <c r="H8" s="80">
        <v>185.2</v>
      </c>
      <c r="I8" s="80">
        <v>185.4</v>
      </c>
      <c r="J8" s="80">
        <v>185.7</v>
      </c>
      <c r="K8" s="80">
        <v>185.9</v>
      </c>
      <c r="L8" s="80">
        <v>186.2</v>
      </c>
      <c r="M8" s="80">
        <v>186.5</v>
      </c>
      <c r="N8" s="80">
        <v>186.8</v>
      </c>
    </row>
    <row r="9" spans="2:14" ht="14.25" thickBot="1" x14ac:dyDescent="0.3">
      <c r="B9" s="79">
        <v>7</v>
      </c>
      <c r="C9" s="80">
        <v>185.6</v>
      </c>
      <c r="D9" s="80">
        <v>185.8</v>
      </c>
      <c r="E9" s="80">
        <v>185.8</v>
      </c>
      <c r="F9" s="80">
        <v>186</v>
      </c>
      <c r="G9" s="80">
        <v>186</v>
      </c>
      <c r="H9" s="80">
        <v>186.2</v>
      </c>
      <c r="I9" s="80">
        <v>186.5</v>
      </c>
      <c r="J9" s="80">
        <v>186.4</v>
      </c>
      <c r="K9" s="80">
        <v>186.8</v>
      </c>
      <c r="L9" s="80">
        <v>187</v>
      </c>
      <c r="M9" s="80">
        <v>187.3</v>
      </c>
      <c r="N9" s="80">
        <v>187.6</v>
      </c>
    </row>
    <row r="10" spans="2:14" ht="14.25" thickBot="1" x14ac:dyDescent="0.3">
      <c r="B10" s="81">
        <v>8</v>
      </c>
      <c r="C10" s="80">
        <v>184.3</v>
      </c>
      <c r="D10" s="80">
        <v>184.7</v>
      </c>
      <c r="E10" s="80">
        <v>184.6</v>
      </c>
      <c r="F10" s="80">
        <v>184.8</v>
      </c>
      <c r="G10" s="80">
        <v>184.7</v>
      </c>
      <c r="H10" s="80">
        <v>185</v>
      </c>
      <c r="I10" s="80">
        <v>185</v>
      </c>
      <c r="J10" s="80">
        <v>185.4</v>
      </c>
      <c r="K10" s="80">
        <v>185.5</v>
      </c>
      <c r="L10" s="80">
        <v>185.9</v>
      </c>
      <c r="M10" s="80">
        <v>186</v>
      </c>
      <c r="N10" s="80">
        <v>186.4</v>
      </c>
    </row>
    <row r="11" spans="2:14" ht="14.25" thickBot="1" x14ac:dyDescent="0.3">
      <c r="B11" s="82">
        <v>9</v>
      </c>
      <c r="C11" s="80">
        <v>183.6</v>
      </c>
      <c r="D11" s="80">
        <v>183.5</v>
      </c>
      <c r="E11" s="80">
        <v>183.4</v>
      </c>
      <c r="F11" s="80">
        <v>183.5</v>
      </c>
      <c r="G11" s="80">
        <v>183.6</v>
      </c>
      <c r="H11" s="80">
        <v>183.8</v>
      </c>
      <c r="I11" s="80">
        <v>183.9</v>
      </c>
      <c r="J11" s="80">
        <v>184</v>
      </c>
      <c r="K11" s="80">
        <v>184</v>
      </c>
      <c r="L11" s="80">
        <v>184.4</v>
      </c>
      <c r="M11" s="80">
        <v>184.7</v>
      </c>
      <c r="N11" s="80">
        <v>185</v>
      </c>
    </row>
    <row r="12" spans="2:14" ht="14.25" thickBot="1" x14ac:dyDescent="0.3">
      <c r="B12" s="83">
        <v>12</v>
      </c>
      <c r="C12" s="80">
        <v>185.1</v>
      </c>
      <c r="D12" s="80">
        <v>185</v>
      </c>
      <c r="E12" s="80">
        <v>184.8</v>
      </c>
      <c r="F12" s="80">
        <v>184.8</v>
      </c>
      <c r="G12" s="80">
        <v>184.8</v>
      </c>
      <c r="H12" s="80">
        <v>184.9</v>
      </c>
      <c r="I12" s="80">
        <v>185.2</v>
      </c>
      <c r="J12" s="80">
        <v>185.4</v>
      </c>
      <c r="K12" s="80">
        <v>185.4</v>
      </c>
      <c r="L12" s="80">
        <v>185.9</v>
      </c>
      <c r="M12" s="80">
        <v>186</v>
      </c>
      <c r="N12" s="80">
        <v>186.4</v>
      </c>
    </row>
    <row r="13" spans="2:14" ht="14.25" thickBot="1" x14ac:dyDescent="0.3">
      <c r="B13" s="83">
        <v>13</v>
      </c>
      <c r="C13" s="80">
        <v>183.5</v>
      </c>
      <c r="D13" s="80">
        <v>183.2</v>
      </c>
      <c r="E13" s="80">
        <v>183.3</v>
      </c>
      <c r="F13" s="80">
        <v>183.3</v>
      </c>
      <c r="G13" s="80">
        <v>183.2</v>
      </c>
      <c r="H13" s="80">
        <v>183.4</v>
      </c>
      <c r="I13" s="80">
        <v>183.5</v>
      </c>
      <c r="J13" s="80">
        <v>183.6</v>
      </c>
      <c r="K13" s="80">
        <v>183.7</v>
      </c>
      <c r="L13" s="80">
        <v>184</v>
      </c>
      <c r="M13" s="80">
        <v>184.3</v>
      </c>
      <c r="N13" s="80">
        <v>184.6</v>
      </c>
    </row>
    <row r="14" spans="2:14" ht="14.25" thickBot="1" x14ac:dyDescent="0.3">
      <c r="B14" s="83">
        <v>14</v>
      </c>
      <c r="C14" s="80">
        <v>185.2</v>
      </c>
      <c r="D14" s="80">
        <v>185.3</v>
      </c>
      <c r="E14" s="80">
        <v>185.6</v>
      </c>
      <c r="F14" s="80">
        <v>185.6</v>
      </c>
      <c r="G14" s="80">
        <v>185.5</v>
      </c>
      <c r="H14" s="80">
        <v>185.6</v>
      </c>
      <c r="I14" s="80">
        <v>185.8</v>
      </c>
      <c r="J14" s="80">
        <v>185.9</v>
      </c>
      <c r="K14" s="80">
        <v>186.1</v>
      </c>
      <c r="L14" s="80">
        <v>186.5</v>
      </c>
      <c r="M14" s="80">
        <v>186.7</v>
      </c>
      <c r="N14" s="80">
        <v>187.1</v>
      </c>
    </row>
    <row r="15" spans="2:14" ht="14.25" thickBot="1" x14ac:dyDescent="0.3">
      <c r="B15" s="83">
        <v>15</v>
      </c>
      <c r="C15" s="80">
        <v>182.6</v>
      </c>
      <c r="D15" s="80">
        <v>182.7</v>
      </c>
      <c r="E15" s="80">
        <v>183.4</v>
      </c>
      <c r="F15" s="80">
        <v>183.6</v>
      </c>
      <c r="G15" s="80">
        <v>183.8</v>
      </c>
      <c r="H15" s="80">
        <v>184</v>
      </c>
      <c r="I15" s="80">
        <v>184</v>
      </c>
      <c r="J15" s="80">
        <v>184.2</v>
      </c>
      <c r="K15" s="80">
        <v>184.2</v>
      </c>
      <c r="L15" s="80">
        <v>184.6</v>
      </c>
      <c r="M15" s="80">
        <v>184.8</v>
      </c>
      <c r="N15" s="80">
        <v>185.1</v>
      </c>
    </row>
    <row r="16" spans="2:14" ht="14.25" thickBot="1" x14ac:dyDescent="0.3">
      <c r="B16" s="83">
        <v>16</v>
      </c>
      <c r="C16" s="80">
        <v>181.5</v>
      </c>
      <c r="D16" s="80">
        <v>181.2</v>
      </c>
      <c r="E16" s="80">
        <v>181.5</v>
      </c>
      <c r="F16" s="80">
        <v>181.8</v>
      </c>
      <c r="G16" s="80">
        <v>181.9</v>
      </c>
      <c r="H16" s="80">
        <v>182.1</v>
      </c>
      <c r="I16" s="80">
        <v>182.2</v>
      </c>
      <c r="J16" s="80">
        <v>182.4</v>
      </c>
      <c r="K16" s="80">
        <v>182.3</v>
      </c>
      <c r="L16" s="80">
        <v>182.6</v>
      </c>
      <c r="M16" s="80">
        <v>182.8</v>
      </c>
      <c r="N16" s="80">
        <v>183.2</v>
      </c>
    </row>
    <row r="17" spans="2:14" ht="14.25" thickBot="1" x14ac:dyDescent="0.3">
      <c r="B17" s="83">
        <v>19</v>
      </c>
      <c r="C17" s="80">
        <v>180.8</v>
      </c>
      <c r="D17" s="80">
        <v>181</v>
      </c>
      <c r="E17" s="80">
        <v>181.4</v>
      </c>
      <c r="F17" s="80">
        <v>181.5</v>
      </c>
      <c r="G17" s="80">
        <v>181.6</v>
      </c>
      <c r="H17" s="80">
        <v>181.9</v>
      </c>
      <c r="I17" s="80">
        <v>182</v>
      </c>
      <c r="J17" s="80">
        <v>182.1</v>
      </c>
      <c r="K17" s="80">
        <v>182.1</v>
      </c>
      <c r="L17" s="80">
        <v>182.2</v>
      </c>
      <c r="M17" s="80">
        <v>182.6</v>
      </c>
      <c r="N17" s="80">
        <v>183</v>
      </c>
    </row>
    <row r="18" spans="2:14" ht="14.25" thickBot="1" x14ac:dyDescent="0.3">
      <c r="B18" s="83">
        <v>20</v>
      </c>
      <c r="C18" s="80">
        <v>179.9</v>
      </c>
      <c r="D18" s="80">
        <v>180</v>
      </c>
      <c r="E18" s="80">
        <v>180.5</v>
      </c>
      <c r="F18" s="80">
        <v>180.8</v>
      </c>
      <c r="G18" s="80">
        <v>181</v>
      </c>
      <c r="H18" s="80">
        <v>181.2</v>
      </c>
      <c r="I18" s="80">
        <v>181.3</v>
      </c>
      <c r="J18" s="80">
        <v>181.4</v>
      </c>
      <c r="K18" s="80">
        <v>181.3</v>
      </c>
      <c r="L18" s="80">
        <v>181.5</v>
      </c>
      <c r="M18" s="80">
        <v>181.7</v>
      </c>
      <c r="N18" s="80">
        <v>182.1</v>
      </c>
    </row>
    <row r="19" spans="2:14" ht="14.25" thickBot="1" x14ac:dyDescent="0.3">
      <c r="B19" s="83">
        <v>21</v>
      </c>
      <c r="C19" s="80">
        <v>180.8</v>
      </c>
      <c r="D19" s="80">
        <v>181.3</v>
      </c>
      <c r="E19" s="80">
        <v>181.9</v>
      </c>
      <c r="F19" s="80">
        <v>182.1</v>
      </c>
      <c r="G19" s="80">
        <v>182.3</v>
      </c>
      <c r="H19" s="80">
        <v>182.4</v>
      </c>
      <c r="I19" s="80">
        <v>182.6</v>
      </c>
      <c r="J19" s="80">
        <v>182.5</v>
      </c>
      <c r="K19" s="80">
        <v>182.6</v>
      </c>
      <c r="L19" s="80">
        <v>182.9</v>
      </c>
      <c r="M19" s="80">
        <v>183</v>
      </c>
      <c r="N19" s="80">
        <v>183.4</v>
      </c>
    </row>
    <row r="20" spans="2:14" ht="14.25" thickBot="1" x14ac:dyDescent="0.3">
      <c r="B20" s="83">
        <v>22</v>
      </c>
      <c r="C20" s="80">
        <v>181.6</v>
      </c>
      <c r="D20" s="80">
        <v>182.1</v>
      </c>
      <c r="E20" s="80">
        <v>182.9</v>
      </c>
      <c r="F20" s="80">
        <v>183.2</v>
      </c>
      <c r="G20" s="80">
        <v>183.6</v>
      </c>
      <c r="H20" s="80">
        <v>183.5</v>
      </c>
      <c r="I20" s="80">
        <v>183.7</v>
      </c>
      <c r="J20" s="80">
        <v>183.9</v>
      </c>
      <c r="K20" s="80">
        <v>183.9</v>
      </c>
      <c r="L20" s="80">
        <v>184</v>
      </c>
      <c r="M20" s="80">
        <v>184.3</v>
      </c>
      <c r="N20" s="80">
        <v>184.6</v>
      </c>
    </row>
    <row r="21" spans="2:14" ht="14.25" thickBot="1" x14ac:dyDescent="0.3">
      <c r="B21" s="83">
        <v>23</v>
      </c>
      <c r="C21" s="80">
        <v>185.8</v>
      </c>
      <c r="D21" s="80">
        <v>186</v>
      </c>
      <c r="E21" s="80">
        <v>186.5</v>
      </c>
      <c r="F21" s="80">
        <v>186.6</v>
      </c>
      <c r="G21" s="80">
        <v>186.7</v>
      </c>
      <c r="H21" s="80">
        <v>186.8</v>
      </c>
      <c r="I21" s="80">
        <v>186.9</v>
      </c>
      <c r="J21" s="80">
        <v>186.8</v>
      </c>
      <c r="K21" s="80">
        <v>186.9</v>
      </c>
      <c r="L21" s="80">
        <v>187</v>
      </c>
      <c r="M21" s="80">
        <v>187.1</v>
      </c>
      <c r="N21" s="80">
        <v>187.4</v>
      </c>
    </row>
    <row r="22" spans="2:14" ht="14.25" thickBot="1" x14ac:dyDescent="0.3">
      <c r="B22" s="84">
        <v>26</v>
      </c>
      <c r="C22" s="85">
        <v>185.3</v>
      </c>
      <c r="D22" s="85">
        <v>185.2</v>
      </c>
      <c r="E22" s="85">
        <v>186</v>
      </c>
      <c r="F22" s="85">
        <v>186.2</v>
      </c>
      <c r="G22" s="85">
        <v>186.3</v>
      </c>
      <c r="H22" s="85">
        <v>186.5</v>
      </c>
      <c r="I22" s="85">
        <v>186.6</v>
      </c>
      <c r="J22" s="85">
        <v>186.7</v>
      </c>
      <c r="K22" s="85">
        <v>186.7</v>
      </c>
      <c r="L22" s="85">
        <v>186.9</v>
      </c>
      <c r="M22" s="85">
        <v>187</v>
      </c>
      <c r="N22" s="85">
        <v>187.3</v>
      </c>
    </row>
    <row r="23" spans="2:14" ht="14.25" thickBot="1" x14ac:dyDescent="0.3">
      <c r="B23" s="86">
        <v>27</v>
      </c>
      <c r="C23" s="85">
        <v>187.4</v>
      </c>
      <c r="D23" s="85">
        <v>185.7</v>
      </c>
      <c r="E23" s="85">
        <v>186.3</v>
      </c>
      <c r="F23" s="85">
        <v>186.5</v>
      </c>
      <c r="G23" s="85">
        <v>186.6</v>
      </c>
      <c r="H23" s="85">
        <v>186.9</v>
      </c>
      <c r="I23" s="85">
        <v>186.9</v>
      </c>
      <c r="J23" s="85">
        <v>187</v>
      </c>
      <c r="K23" s="85">
        <v>187.1</v>
      </c>
      <c r="L23" s="85">
        <v>187.1</v>
      </c>
      <c r="M23" s="85">
        <v>187.4</v>
      </c>
      <c r="N23" s="85">
        <v>187.7</v>
      </c>
    </row>
    <row r="24" spans="2:14" ht="14.25" thickBot="1" x14ac:dyDescent="0.3">
      <c r="B24" s="83">
        <v>28</v>
      </c>
      <c r="C24" s="80">
        <v>189.4</v>
      </c>
      <c r="D24" s="80">
        <v>187.7</v>
      </c>
      <c r="E24" s="80">
        <v>188.3</v>
      </c>
      <c r="F24" s="80">
        <v>188.4</v>
      </c>
      <c r="G24" s="80">
        <v>188.5</v>
      </c>
      <c r="H24" s="80">
        <v>188.6</v>
      </c>
      <c r="I24" s="80">
        <v>188.5</v>
      </c>
      <c r="J24" s="80">
        <v>188.6</v>
      </c>
      <c r="K24" s="80">
        <v>188.7</v>
      </c>
      <c r="L24" s="80">
        <v>188.9</v>
      </c>
      <c r="M24" s="80">
        <v>189.2</v>
      </c>
      <c r="N24" s="80">
        <v>189.5</v>
      </c>
    </row>
    <row r="25" spans="2:14" ht="14.25" thickBot="1" x14ac:dyDescent="0.3">
      <c r="B25" s="83">
        <v>29</v>
      </c>
      <c r="C25" s="80">
        <v>191.3</v>
      </c>
      <c r="D25" s="80">
        <v>192.4</v>
      </c>
      <c r="E25" s="80">
        <v>193</v>
      </c>
      <c r="F25" s="80">
        <v>193</v>
      </c>
      <c r="G25" s="80">
        <v>193.2</v>
      </c>
      <c r="H25" s="80">
        <v>193.1</v>
      </c>
      <c r="I25" s="80">
        <v>193.3</v>
      </c>
      <c r="J25" s="80">
        <v>193.3</v>
      </c>
      <c r="K25" s="80">
        <v>193.3</v>
      </c>
      <c r="L25" s="80">
        <v>193.4</v>
      </c>
      <c r="M25" s="80">
        <v>193.7</v>
      </c>
      <c r="N25" s="80">
        <v>194</v>
      </c>
    </row>
    <row r="26" spans="2:14" ht="14.25" thickBot="1" x14ac:dyDescent="0.3">
      <c r="B26" s="83">
        <v>30</v>
      </c>
      <c r="C26" s="80">
        <v>187</v>
      </c>
      <c r="D26" s="80">
        <v>189</v>
      </c>
      <c r="E26" s="80">
        <v>189.3</v>
      </c>
      <c r="F26" s="80">
        <v>189.5</v>
      </c>
      <c r="G26" s="80">
        <v>189.7</v>
      </c>
      <c r="H26" s="80">
        <v>189.9</v>
      </c>
      <c r="I26" s="80">
        <v>189.9</v>
      </c>
      <c r="J26" s="80">
        <v>190.1</v>
      </c>
      <c r="K26" s="80">
        <v>190.1</v>
      </c>
      <c r="L26" s="80">
        <v>190.2</v>
      </c>
      <c r="M26" s="80">
        <v>190.5</v>
      </c>
      <c r="N26" s="80">
        <v>190.8</v>
      </c>
    </row>
    <row r="27" spans="2:14" ht="14.25" thickBot="1" x14ac:dyDescent="0.3">
      <c r="B27" s="87" t="s">
        <v>2</v>
      </c>
      <c r="C27" s="88">
        <f t="shared" ref="C27:N27" si="0">SUM(C6:C26)</f>
        <v>3869.7000000000007</v>
      </c>
      <c r="D27" s="88">
        <f t="shared" si="0"/>
        <v>3870.5999999999995</v>
      </c>
      <c r="E27" s="88">
        <f t="shared" si="0"/>
        <v>3876.9000000000005</v>
      </c>
      <c r="F27" s="88">
        <f t="shared" si="0"/>
        <v>3880.1999999999994</v>
      </c>
      <c r="G27" s="88">
        <f t="shared" si="0"/>
        <v>3882.4999999999995</v>
      </c>
      <c r="H27" s="88">
        <f t="shared" si="0"/>
        <v>3885.8</v>
      </c>
      <c r="I27" s="88">
        <f t="shared" si="0"/>
        <v>3888.3000000000006</v>
      </c>
      <c r="J27" s="88">
        <f t="shared" si="0"/>
        <v>3891.0000000000005</v>
      </c>
      <c r="K27" s="88">
        <f t="shared" si="0"/>
        <v>3892.6</v>
      </c>
      <c r="L27" s="88">
        <f t="shared" si="0"/>
        <v>3898.2</v>
      </c>
      <c r="M27" s="88">
        <f t="shared" si="0"/>
        <v>3903.2</v>
      </c>
      <c r="N27" s="88">
        <f t="shared" si="0"/>
        <v>3910</v>
      </c>
    </row>
    <row r="28" spans="2:14" ht="14.25" thickBot="1" x14ac:dyDescent="0.3">
      <c r="B28" s="89" t="s">
        <v>3</v>
      </c>
      <c r="C28" s="90">
        <f t="shared" ref="C28:N28" si="1">AVERAGE(C6:C26)</f>
        <v>184.2714285714286</v>
      </c>
      <c r="D28" s="90">
        <f t="shared" si="1"/>
        <v>184.31428571428569</v>
      </c>
      <c r="E28" s="90">
        <f t="shared" si="1"/>
        <v>184.61428571428573</v>
      </c>
      <c r="F28" s="90">
        <f t="shared" si="1"/>
        <v>184.77142857142854</v>
      </c>
      <c r="G28" s="90">
        <f t="shared" si="1"/>
        <v>184.88095238095235</v>
      </c>
      <c r="H28" s="90">
        <f t="shared" si="1"/>
        <v>185.03809523809525</v>
      </c>
      <c r="I28" s="90">
        <f t="shared" si="1"/>
        <v>185.1571428571429</v>
      </c>
      <c r="J28" s="90">
        <f t="shared" si="1"/>
        <v>185.28571428571431</v>
      </c>
      <c r="K28" s="90">
        <f t="shared" si="1"/>
        <v>185.36190476190475</v>
      </c>
      <c r="L28" s="90">
        <f t="shared" si="1"/>
        <v>185.62857142857143</v>
      </c>
      <c r="M28" s="90">
        <f t="shared" si="1"/>
        <v>185.86666666666665</v>
      </c>
      <c r="N28" s="90">
        <f t="shared" si="1"/>
        <v>186.1904761904762</v>
      </c>
    </row>
  </sheetData>
  <mergeCells count="1">
    <mergeCell ref="C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2250-1BF4-484F-8712-4D48D1DE7A20}">
  <dimension ref="B3:N28"/>
  <sheetViews>
    <sheetView workbookViewId="0">
      <selection activeCell="L21" sqref="L21"/>
    </sheetView>
  </sheetViews>
  <sheetFormatPr defaultColWidth="10.42578125" defaultRowHeight="13.5" x14ac:dyDescent="0.25"/>
  <cols>
    <col min="1" max="16384" width="10.42578125" style="1"/>
  </cols>
  <sheetData>
    <row r="3" spans="2:14" ht="14.25" thickBot="1" x14ac:dyDescent="0.3">
      <c r="B3" s="55" t="s">
        <v>187</v>
      </c>
    </row>
    <row r="4" spans="2:14" ht="13.5" customHeight="1" thickBot="1" x14ac:dyDescent="0.3">
      <c r="B4" s="76" t="s">
        <v>0</v>
      </c>
      <c r="C4" s="117" t="s">
        <v>188</v>
      </c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</row>
    <row r="5" spans="2:14" ht="14.25" thickBot="1" x14ac:dyDescent="0.3">
      <c r="B5" s="77" t="s">
        <v>1</v>
      </c>
      <c r="C5" s="78" t="s">
        <v>168</v>
      </c>
      <c r="D5" s="78" t="s">
        <v>170</v>
      </c>
      <c r="E5" s="78" t="s">
        <v>173</v>
      </c>
      <c r="F5" s="78" t="s">
        <v>175</v>
      </c>
      <c r="G5" s="78" t="s">
        <v>176</v>
      </c>
      <c r="H5" s="78" t="s">
        <v>177</v>
      </c>
      <c r="I5" s="78" t="s">
        <v>178</v>
      </c>
      <c r="J5" s="78" t="s">
        <v>179</v>
      </c>
      <c r="K5" s="78" t="s">
        <v>180</v>
      </c>
      <c r="L5" s="78" t="s">
        <v>182</v>
      </c>
      <c r="M5" s="78" t="s">
        <v>183</v>
      </c>
      <c r="N5" s="78" t="s">
        <v>185</v>
      </c>
    </row>
    <row r="6" spans="2:14" ht="14.25" thickBot="1" x14ac:dyDescent="0.3">
      <c r="B6" s="79">
        <v>2</v>
      </c>
      <c r="C6" s="80">
        <v>210</v>
      </c>
      <c r="D6" s="80">
        <v>210</v>
      </c>
      <c r="E6" s="80">
        <v>210.5</v>
      </c>
      <c r="F6" s="80">
        <v>211</v>
      </c>
      <c r="G6" s="80">
        <v>212.7</v>
      </c>
      <c r="H6" s="80">
        <v>220.4</v>
      </c>
      <c r="I6" s="80">
        <v>217.1</v>
      </c>
      <c r="J6" s="80">
        <v>217.1</v>
      </c>
      <c r="K6" s="80">
        <v>217.1</v>
      </c>
      <c r="L6" s="80">
        <v>217.1</v>
      </c>
      <c r="M6" s="80">
        <v>217.1</v>
      </c>
      <c r="N6" s="80">
        <v>218.1</v>
      </c>
    </row>
    <row r="7" spans="2:14" ht="14.25" thickBot="1" x14ac:dyDescent="0.3">
      <c r="B7" s="79">
        <v>5</v>
      </c>
      <c r="C7" s="80">
        <v>212</v>
      </c>
      <c r="D7" s="80">
        <v>211.5</v>
      </c>
      <c r="E7" s="80">
        <v>212</v>
      </c>
      <c r="F7" s="80">
        <v>213.6</v>
      </c>
      <c r="G7" s="80">
        <v>214.2</v>
      </c>
      <c r="H7" s="80">
        <v>213.8</v>
      </c>
      <c r="I7" s="80">
        <v>210.5</v>
      </c>
      <c r="J7" s="80">
        <v>210.5</v>
      </c>
      <c r="K7" s="80">
        <v>210.5</v>
      </c>
      <c r="L7" s="80">
        <v>210.5</v>
      </c>
      <c r="M7" s="80">
        <v>210.5</v>
      </c>
      <c r="N7" s="80">
        <v>211.5</v>
      </c>
    </row>
    <row r="8" spans="2:14" ht="14.25" thickBot="1" x14ac:dyDescent="0.3">
      <c r="B8" s="79">
        <v>6</v>
      </c>
      <c r="C8" s="80">
        <v>212.9</v>
      </c>
      <c r="D8" s="80">
        <v>213.6</v>
      </c>
      <c r="E8" s="80">
        <v>214</v>
      </c>
      <c r="F8" s="80">
        <v>215</v>
      </c>
      <c r="G8" s="80">
        <v>216.1</v>
      </c>
      <c r="H8" s="80">
        <v>216.1</v>
      </c>
      <c r="I8" s="80">
        <v>212.8</v>
      </c>
      <c r="J8" s="80">
        <v>212.8</v>
      </c>
      <c r="K8" s="80">
        <v>212.8</v>
      </c>
      <c r="L8" s="80">
        <v>212.8</v>
      </c>
      <c r="M8" s="80">
        <v>212.8</v>
      </c>
      <c r="N8" s="80">
        <v>213.8</v>
      </c>
    </row>
    <row r="9" spans="2:14" ht="14.25" thickBot="1" x14ac:dyDescent="0.3">
      <c r="B9" s="79">
        <v>7</v>
      </c>
      <c r="C9" s="80">
        <v>213.5</v>
      </c>
      <c r="D9" s="80">
        <v>213.2</v>
      </c>
      <c r="E9" s="80">
        <v>213.8</v>
      </c>
      <c r="F9" s="80">
        <v>215.7</v>
      </c>
      <c r="G9" s="80">
        <v>215.6</v>
      </c>
      <c r="H9" s="80">
        <v>215.6</v>
      </c>
      <c r="I9" s="80">
        <v>212.3</v>
      </c>
      <c r="J9" s="80">
        <v>212.3</v>
      </c>
      <c r="K9" s="80">
        <v>212.3</v>
      </c>
      <c r="L9" s="80">
        <v>212.3</v>
      </c>
      <c r="M9" s="80">
        <v>212.3</v>
      </c>
      <c r="N9" s="80">
        <v>213.3</v>
      </c>
    </row>
    <row r="10" spans="2:14" ht="14.25" thickBot="1" x14ac:dyDescent="0.3">
      <c r="B10" s="81">
        <v>8</v>
      </c>
      <c r="C10" s="80">
        <v>212.5</v>
      </c>
      <c r="D10" s="80">
        <v>212.1</v>
      </c>
      <c r="E10" s="80">
        <v>212.6</v>
      </c>
      <c r="F10" s="80">
        <v>213.4</v>
      </c>
      <c r="G10" s="80">
        <v>214.4</v>
      </c>
      <c r="H10" s="80">
        <v>214.4</v>
      </c>
      <c r="I10" s="80">
        <v>211.1</v>
      </c>
      <c r="J10" s="80">
        <v>211.1</v>
      </c>
      <c r="K10" s="80">
        <v>211.1</v>
      </c>
      <c r="L10" s="80">
        <v>211.1</v>
      </c>
      <c r="M10" s="80">
        <v>211.1</v>
      </c>
      <c r="N10" s="80">
        <v>212.1</v>
      </c>
    </row>
    <row r="11" spans="2:14" ht="14.25" thickBot="1" x14ac:dyDescent="0.3">
      <c r="B11" s="82">
        <v>9</v>
      </c>
      <c r="C11" s="80">
        <v>213.5</v>
      </c>
      <c r="D11" s="80">
        <v>212.3</v>
      </c>
      <c r="E11" s="80">
        <v>211</v>
      </c>
      <c r="F11" s="80">
        <v>211.8</v>
      </c>
      <c r="G11" s="80">
        <v>212.8</v>
      </c>
      <c r="H11" s="80">
        <v>212.8</v>
      </c>
      <c r="I11" s="80">
        <v>209.5</v>
      </c>
      <c r="J11" s="80">
        <v>209.5</v>
      </c>
      <c r="K11" s="80">
        <v>209.5</v>
      </c>
      <c r="L11" s="80">
        <v>209.5</v>
      </c>
      <c r="M11" s="80">
        <v>209.5</v>
      </c>
      <c r="N11" s="80">
        <v>210.5</v>
      </c>
    </row>
    <row r="12" spans="2:14" ht="14.25" thickBot="1" x14ac:dyDescent="0.3">
      <c r="B12" s="83">
        <v>12</v>
      </c>
      <c r="C12" s="80">
        <v>213.2</v>
      </c>
      <c r="D12" s="80">
        <v>212</v>
      </c>
      <c r="E12" s="80">
        <v>210.7</v>
      </c>
      <c r="F12" s="80">
        <v>211.5</v>
      </c>
      <c r="G12" s="80">
        <v>212.5</v>
      </c>
      <c r="H12" s="80">
        <v>212.5</v>
      </c>
      <c r="I12" s="80">
        <v>209.2</v>
      </c>
      <c r="J12" s="80">
        <v>209.2</v>
      </c>
      <c r="K12" s="80">
        <v>209.2</v>
      </c>
      <c r="L12" s="80">
        <v>209.2</v>
      </c>
      <c r="M12" s="80">
        <v>209.2</v>
      </c>
      <c r="N12" s="80">
        <v>210.2</v>
      </c>
    </row>
    <row r="13" spans="2:14" ht="14.25" thickBot="1" x14ac:dyDescent="0.3">
      <c r="B13" s="83">
        <v>13</v>
      </c>
      <c r="C13" s="80">
        <v>213</v>
      </c>
      <c r="D13" s="80">
        <v>213.1</v>
      </c>
      <c r="E13" s="80">
        <v>213.2</v>
      </c>
      <c r="F13" s="80">
        <v>214.5</v>
      </c>
      <c r="G13" s="80">
        <v>215.2</v>
      </c>
      <c r="H13" s="80">
        <v>215.2</v>
      </c>
      <c r="I13" s="80">
        <v>211.9</v>
      </c>
      <c r="J13" s="80">
        <v>211.9</v>
      </c>
      <c r="K13" s="80">
        <v>211.9</v>
      </c>
      <c r="L13" s="80">
        <v>211.9</v>
      </c>
      <c r="M13" s="80">
        <v>211.9</v>
      </c>
      <c r="N13" s="80">
        <v>212.9</v>
      </c>
    </row>
    <row r="14" spans="2:14" ht="14.25" thickBot="1" x14ac:dyDescent="0.3">
      <c r="B14" s="83">
        <v>14</v>
      </c>
      <c r="C14" s="80">
        <v>215</v>
      </c>
      <c r="D14" s="80">
        <v>215</v>
      </c>
      <c r="E14" s="80">
        <v>215.5</v>
      </c>
      <c r="F14" s="80">
        <v>217</v>
      </c>
      <c r="G14" s="80">
        <v>217.3</v>
      </c>
      <c r="H14" s="80">
        <v>217.3</v>
      </c>
      <c r="I14" s="80">
        <v>214</v>
      </c>
      <c r="J14" s="80">
        <v>214</v>
      </c>
      <c r="K14" s="80">
        <v>214</v>
      </c>
      <c r="L14" s="80">
        <v>214</v>
      </c>
      <c r="M14" s="80">
        <v>214</v>
      </c>
      <c r="N14" s="80">
        <v>215</v>
      </c>
    </row>
    <row r="15" spans="2:14" ht="14.25" thickBot="1" x14ac:dyDescent="0.3">
      <c r="B15" s="83">
        <v>15</v>
      </c>
      <c r="C15" s="80">
        <v>214</v>
      </c>
      <c r="D15" s="80">
        <v>214.2</v>
      </c>
      <c r="E15" s="80">
        <v>214.4</v>
      </c>
      <c r="F15" s="80">
        <v>215</v>
      </c>
      <c r="G15" s="80">
        <v>216</v>
      </c>
      <c r="H15" s="80">
        <v>216.5</v>
      </c>
      <c r="I15" s="80">
        <v>213.2</v>
      </c>
      <c r="J15" s="80">
        <v>213.2</v>
      </c>
      <c r="K15" s="80">
        <v>213.2</v>
      </c>
      <c r="L15" s="80">
        <v>213.2</v>
      </c>
      <c r="M15" s="80">
        <v>213.2</v>
      </c>
      <c r="N15" s="80">
        <v>214.2</v>
      </c>
    </row>
    <row r="16" spans="2:14" ht="14.25" thickBot="1" x14ac:dyDescent="0.3">
      <c r="B16" s="83">
        <v>16</v>
      </c>
      <c r="C16" s="80">
        <v>214</v>
      </c>
      <c r="D16" s="80">
        <v>214.4</v>
      </c>
      <c r="E16" s="80">
        <v>214.8</v>
      </c>
      <c r="F16" s="80">
        <v>215.3</v>
      </c>
      <c r="G16" s="80">
        <v>215.9</v>
      </c>
      <c r="H16" s="80">
        <v>216.6</v>
      </c>
      <c r="I16" s="80">
        <v>213.3</v>
      </c>
      <c r="J16" s="80">
        <v>213.3</v>
      </c>
      <c r="K16" s="80">
        <v>213.3</v>
      </c>
      <c r="L16" s="80">
        <v>213.3</v>
      </c>
      <c r="M16" s="80">
        <v>213.3</v>
      </c>
      <c r="N16" s="80">
        <v>214.3</v>
      </c>
    </row>
    <row r="17" spans="2:14" ht="14.25" thickBot="1" x14ac:dyDescent="0.3">
      <c r="B17" s="83">
        <v>19</v>
      </c>
      <c r="C17" s="80">
        <v>214</v>
      </c>
      <c r="D17" s="80">
        <v>213.9</v>
      </c>
      <c r="E17" s="80">
        <v>213.7</v>
      </c>
      <c r="F17" s="80">
        <v>214.3</v>
      </c>
      <c r="G17" s="80">
        <v>215.3</v>
      </c>
      <c r="H17" s="80">
        <v>215.3</v>
      </c>
      <c r="I17" s="80">
        <v>212</v>
      </c>
      <c r="J17" s="80">
        <v>212</v>
      </c>
      <c r="K17" s="80">
        <v>212</v>
      </c>
      <c r="L17" s="80">
        <v>212</v>
      </c>
      <c r="M17" s="80">
        <v>212</v>
      </c>
      <c r="N17" s="80">
        <v>213</v>
      </c>
    </row>
    <row r="18" spans="2:14" ht="14.25" thickBot="1" x14ac:dyDescent="0.3">
      <c r="B18" s="83">
        <v>20</v>
      </c>
      <c r="C18" s="80">
        <v>213.9</v>
      </c>
      <c r="D18" s="80">
        <v>213.4</v>
      </c>
      <c r="E18" s="80">
        <v>212.8</v>
      </c>
      <c r="F18" s="80">
        <v>213.4</v>
      </c>
      <c r="G18" s="80">
        <v>214.4</v>
      </c>
      <c r="H18" s="80">
        <v>214.4</v>
      </c>
      <c r="I18" s="80">
        <v>211.1</v>
      </c>
      <c r="J18" s="80">
        <v>211.1</v>
      </c>
      <c r="K18" s="80">
        <v>211.1</v>
      </c>
      <c r="L18" s="80">
        <v>211.1</v>
      </c>
      <c r="M18" s="80">
        <v>211.1</v>
      </c>
      <c r="N18" s="80">
        <v>212.1</v>
      </c>
    </row>
    <row r="19" spans="2:14" ht="14.25" thickBot="1" x14ac:dyDescent="0.3">
      <c r="B19" s="83">
        <v>21</v>
      </c>
      <c r="C19" s="80">
        <v>214</v>
      </c>
      <c r="D19" s="80">
        <v>213.8</v>
      </c>
      <c r="E19" s="80">
        <v>213.5</v>
      </c>
      <c r="F19" s="80">
        <v>215</v>
      </c>
      <c r="G19" s="80">
        <v>216</v>
      </c>
      <c r="H19" s="80">
        <v>215.3</v>
      </c>
      <c r="I19" s="80">
        <v>212</v>
      </c>
      <c r="J19" s="80">
        <v>212</v>
      </c>
      <c r="K19" s="80">
        <v>212</v>
      </c>
      <c r="L19" s="80">
        <v>212</v>
      </c>
      <c r="M19" s="80">
        <v>212</v>
      </c>
      <c r="N19" s="80">
        <v>213</v>
      </c>
    </row>
    <row r="20" spans="2:14" ht="14.25" thickBot="1" x14ac:dyDescent="0.3">
      <c r="B20" s="83">
        <v>22</v>
      </c>
      <c r="C20" s="80">
        <v>214.9</v>
      </c>
      <c r="D20" s="80">
        <v>215.3</v>
      </c>
      <c r="E20" s="80">
        <v>215.7</v>
      </c>
      <c r="F20" s="80">
        <v>216.3</v>
      </c>
      <c r="G20" s="80">
        <v>217.3</v>
      </c>
      <c r="H20" s="80">
        <v>216.5</v>
      </c>
      <c r="I20" s="80">
        <v>213.2</v>
      </c>
      <c r="J20" s="80">
        <v>213.2</v>
      </c>
      <c r="K20" s="80">
        <v>213.2</v>
      </c>
      <c r="L20" s="80">
        <v>213.2</v>
      </c>
      <c r="M20" s="80">
        <v>213.2</v>
      </c>
      <c r="N20" s="80">
        <v>214.2</v>
      </c>
    </row>
    <row r="21" spans="2:14" ht="14.25" thickBot="1" x14ac:dyDescent="0.3">
      <c r="B21" s="83">
        <v>23</v>
      </c>
      <c r="C21" s="80">
        <v>216.9</v>
      </c>
      <c r="D21" s="80">
        <v>217.1</v>
      </c>
      <c r="E21" s="80">
        <v>217.3</v>
      </c>
      <c r="F21" s="80">
        <v>217.7</v>
      </c>
      <c r="G21" s="80">
        <v>219</v>
      </c>
      <c r="H21" s="80">
        <v>217.8</v>
      </c>
      <c r="I21" s="80">
        <v>214.5</v>
      </c>
      <c r="J21" s="80">
        <v>214.5</v>
      </c>
      <c r="K21" s="80">
        <v>214.5</v>
      </c>
      <c r="L21" s="80">
        <v>214.5</v>
      </c>
      <c r="M21" s="80">
        <v>214.5</v>
      </c>
      <c r="N21" s="80">
        <v>215.5</v>
      </c>
    </row>
    <row r="22" spans="2:14" ht="14.25" thickBot="1" x14ac:dyDescent="0.3">
      <c r="B22" s="84">
        <v>26</v>
      </c>
      <c r="C22" s="85">
        <v>216</v>
      </c>
      <c r="D22" s="85">
        <v>216</v>
      </c>
      <c r="E22" s="85">
        <v>217.2</v>
      </c>
      <c r="F22" s="85">
        <v>217.7</v>
      </c>
      <c r="G22" s="85">
        <v>211.5</v>
      </c>
      <c r="H22" s="85">
        <v>210.9</v>
      </c>
      <c r="I22" s="85">
        <v>207.6</v>
      </c>
      <c r="J22" s="85">
        <v>207.6</v>
      </c>
      <c r="K22" s="85">
        <v>207.6</v>
      </c>
      <c r="L22" s="85">
        <v>207.6</v>
      </c>
      <c r="M22" s="85">
        <v>207.6</v>
      </c>
      <c r="N22" s="85">
        <v>208.6</v>
      </c>
    </row>
    <row r="23" spans="2:14" ht="14.25" thickBot="1" x14ac:dyDescent="0.3">
      <c r="B23" s="86">
        <v>27</v>
      </c>
      <c r="C23" s="85">
        <v>216</v>
      </c>
      <c r="D23" s="85">
        <v>216</v>
      </c>
      <c r="E23" s="85">
        <v>217.2</v>
      </c>
      <c r="F23" s="85">
        <v>217.7</v>
      </c>
      <c r="G23" s="85">
        <v>211.5</v>
      </c>
      <c r="H23" s="85">
        <v>210.9</v>
      </c>
      <c r="I23" s="85">
        <v>207.6</v>
      </c>
      <c r="J23" s="85">
        <v>207.6</v>
      </c>
      <c r="K23" s="85">
        <v>207.6</v>
      </c>
      <c r="L23" s="85">
        <v>207.6</v>
      </c>
      <c r="M23" s="85">
        <v>207.6</v>
      </c>
      <c r="N23" s="85">
        <v>208.6</v>
      </c>
    </row>
    <row r="24" spans="2:14" ht="14.25" thickBot="1" x14ac:dyDescent="0.3">
      <c r="B24" s="83">
        <v>28</v>
      </c>
      <c r="C24" s="80">
        <v>217</v>
      </c>
      <c r="D24" s="80">
        <v>217</v>
      </c>
      <c r="E24" s="80">
        <v>218.2</v>
      </c>
      <c r="F24" s="80">
        <v>218.7</v>
      </c>
      <c r="G24" s="80">
        <v>212.5</v>
      </c>
      <c r="H24" s="80">
        <v>217.2</v>
      </c>
      <c r="I24" s="80">
        <v>213.9</v>
      </c>
      <c r="J24" s="80">
        <v>213.9</v>
      </c>
      <c r="K24" s="80">
        <v>213.9</v>
      </c>
      <c r="L24" s="80">
        <v>213.9</v>
      </c>
      <c r="M24" s="80">
        <v>213.9</v>
      </c>
      <c r="N24" s="80">
        <v>214.9</v>
      </c>
    </row>
    <row r="25" spans="2:14" ht="14.25" thickBot="1" x14ac:dyDescent="0.3">
      <c r="B25" s="83">
        <v>29</v>
      </c>
      <c r="C25" s="80">
        <v>218.4</v>
      </c>
      <c r="D25" s="80">
        <v>218.4</v>
      </c>
      <c r="E25" s="80">
        <v>219.6</v>
      </c>
      <c r="F25" s="80">
        <v>220.1</v>
      </c>
      <c r="G25" s="80">
        <v>213.9</v>
      </c>
      <c r="H25" s="80">
        <v>220.6</v>
      </c>
      <c r="I25" s="80">
        <v>217.3</v>
      </c>
      <c r="J25" s="80">
        <v>217.3</v>
      </c>
      <c r="K25" s="80">
        <v>217.3</v>
      </c>
      <c r="L25" s="80">
        <v>217.3</v>
      </c>
      <c r="M25" s="80">
        <v>217.3</v>
      </c>
      <c r="N25" s="80">
        <v>218.3</v>
      </c>
    </row>
    <row r="26" spans="2:14" ht="14.25" thickBot="1" x14ac:dyDescent="0.3">
      <c r="B26" s="83">
        <v>30</v>
      </c>
      <c r="C26" s="80">
        <v>212</v>
      </c>
      <c r="D26" s="80">
        <v>218</v>
      </c>
      <c r="E26" s="80">
        <v>219</v>
      </c>
      <c r="F26" s="80">
        <v>226.2</v>
      </c>
      <c r="G26" s="80">
        <v>220</v>
      </c>
      <c r="H26" s="80">
        <v>220</v>
      </c>
      <c r="I26" s="80">
        <v>216.7</v>
      </c>
      <c r="J26" s="80">
        <v>216.7</v>
      </c>
      <c r="K26" s="80">
        <v>216.7</v>
      </c>
      <c r="L26" s="80">
        <v>216.7</v>
      </c>
      <c r="M26" s="80">
        <v>216.7</v>
      </c>
      <c r="N26" s="80">
        <v>217.7</v>
      </c>
    </row>
    <row r="27" spans="2:14" ht="14.25" thickBot="1" x14ac:dyDescent="0.3">
      <c r="B27" s="87" t="s">
        <v>2</v>
      </c>
      <c r="C27" s="88">
        <f t="shared" ref="C27:N27" si="0">SUM(C6:C26)</f>
        <v>4496.7000000000007</v>
      </c>
      <c r="D27" s="88">
        <f t="shared" si="0"/>
        <v>4500.3</v>
      </c>
      <c r="E27" s="88">
        <f t="shared" si="0"/>
        <v>4506.7</v>
      </c>
      <c r="F27" s="88">
        <f t="shared" si="0"/>
        <v>4530.8999999999996</v>
      </c>
      <c r="G27" s="88">
        <f t="shared" si="0"/>
        <v>4514.1000000000004</v>
      </c>
      <c r="H27" s="88">
        <f t="shared" si="0"/>
        <v>4530.1000000000013</v>
      </c>
      <c r="I27" s="88">
        <f t="shared" si="0"/>
        <v>4460.7999999999993</v>
      </c>
      <c r="J27" s="88">
        <f t="shared" si="0"/>
        <v>4460.7999999999993</v>
      </c>
      <c r="K27" s="88">
        <f t="shared" si="0"/>
        <v>4460.7999999999993</v>
      </c>
      <c r="L27" s="88">
        <f t="shared" si="0"/>
        <v>4460.7999999999993</v>
      </c>
      <c r="M27" s="88">
        <f t="shared" si="0"/>
        <v>4460.7999999999993</v>
      </c>
      <c r="N27" s="88">
        <f t="shared" si="0"/>
        <v>4481.7999999999993</v>
      </c>
    </row>
    <row r="28" spans="2:14" ht="14.25" thickBot="1" x14ac:dyDescent="0.3">
      <c r="B28" s="89" t="s">
        <v>3</v>
      </c>
      <c r="C28" s="90">
        <f t="shared" ref="C28:N28" si="1">AVERAGE(C6:C26)</f>
        <v>214.12857142857146</v>
      </c>
      <c r="D28" s="90">
        <f t="shared" si="1"/>
        <v>214.3</v>
      </c>
      <c r="E28" s="90">
        <f t="shared" si="1"/>
        <v>214.60476190476189</v>
      </c>
      <c r="F28" s="90">
        <f t="shared" si="1"/>
        <v>215.75714285714284</v>
      </c>
      <c r="G28" s="90">
        <f t="shared" si="1"/>
        <v>214.95714285714288</v>
      </c>
      <c r="H28" s="90">
        <f t="shared" si="1"/>
        <v>215.71904761904767</v>
      </c>
      <c r="I28" s="90">
        <f t="shared" si="1"/>
        <v>212.41904761904757</v>
      </c>
      <c r="J28" s="90">
        <f t="shared" si="1"/>
        <v>212.41904761904757</v>
      </c>
      <c r="K28" s="90">
        <f t="shared" si="1"/>
        <v>212.41904761904757</v>
      </c>
      <c r="L28" s="90">
        <f t="shared" si="1"/>
        <v>212.41904761904757</v>
      </c>
      <c r="M28" s="90">
        <f t="shared" si="1"/>
        <v>212.41904761904757</v>
      </c>
      <c r="N28" s="90">
        <f t="shared" si="1"/>
        <v>213.41904761904757</v>
      </c>
    </row>
  </sheetData>
  <mergeCells count="1">
    <mergeCell ref="C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9967-6579-4465-B0C3-29458605B4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Mutu.</vt:lpstr>
      <vt:lpstr>Pelabuhan Muat.</vt:lpstr>
      <vt:lpstr>Negara Tujuan.</vt:lpstr>
      <vt:lpstr>TSR20</vt:lpstr>
      <vt:lpstr>RSS3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Arsya</dc:creator>
  <cp:lastModifiedBy>Dino Kuning</cp:lastModifiedBy>
  <dcterms:created xsi:type="dcterms:W3CDTF">2024-03-09T06:16:49Z</dcterms:created>
  <dcterms:modified xsi:type="dcterms:W3CDTF">2026-02-09T07:12:46Z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2025-03-18T06:19:11Z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9cdaeb98-4f0a-4a69-a996-12effdfc1324</vt:lpwstr>
  </property>
  <property fmtid="{D5CDD505-2E9C-101B-9397-08002B2CF9AE}" pid="7" name="MSIP_Label_defa4170-0d19-0005-0004-bc88714345d2_ActionId">
    <vt:lpwstr>020d69a8-6875-44ac-a639-cbd39b7cce07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